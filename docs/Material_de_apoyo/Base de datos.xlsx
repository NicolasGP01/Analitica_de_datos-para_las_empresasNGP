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nicol.NICOLAS_GP\Downloads\"/>
    </mc:Choice>
  </mc:AlternateContent>
  <xr:revisionPtr revIDLastSave="0" documentId="13_ncr:1_{99D46AF6-D22C-48BC-9D5E-5B5CD0D1F630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S_Cruzada" sheetId="3" r:id="rId1"/>
    <sheet name="Serie" sheetId="2" r:id="rId2"/>
    <sheet name="Panel" sheetId="1" r:id="rId3"/>
    <sheet name="Serie_2" sheetId="4" r:id="rId4"/>
  </sheets>
  <definedNames>
    <definedName name="_xlnm._FilterDatabase" localSheetId="2" hidden="1">Panel!$A$1:$T$353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" i="1" l="1"/>
  <c r="S2" i="1" s="1"/>
  <c r="T2" i="1" s="1"/>
  <c r="R3" i="1"/>
  <c r="S3" i="1" s="1"/>
  <c r="T3" i="1" s="1"/>
  <c r="R4" i="1"/>
  <c r="S4" i="1" s="1"/>
  <c r="T4" i="1" s="1"/>
  <c r="R5" i="1"/>
  <c r="S5" i="1" s="1"/>
  <c r="T5" i="1" s="1"/>
  <c r="R6" i="1"/>
  <c r="S6" i="1" s="1"/>
  <c r="T6" i="1" s="1"/>
  <c r="R7" i="1"/>
  <c r="S7" i="1" s="1"/>
  <c r="T7" i="1" s="1"/>
  <c r="R8" i="1"/>
  <c r="S8" i="1" s="1"/>
  <c r="T8" i="1" s="1"/>
  <c r="R9" i="1"/>
  <c r="S9" i="1" s="1"/>
  <c r="T9" i="1" s="1"/>
  <c r="R10" i="1"/>
  <c r="S10" i="1" s="1"/>
  <c r="T10" i="1" s="1"/>
  <c r="R11" i="1"/>
  <c r="S11" i="1" s="1"/>
  <c r="T11" i="1" s="1"/>
  <c r="R12" i="1"/>
  <c r="S12" i="1" s="1"/>
  <c r="T12" i="1" s="1"/>
  <c r="R13" i="1"/>
  <c r="S13" i="1" s="1"/>
  <c r="T13" i="1" s="1"/>
  <c r="R14" i="1"/>
  <c r="S14" i="1" s="1"/>
  <c r="T14" i="1" s="1"/>
  <c r="R15" i="1"/>
  <c r="S15" i="1" s="1"/>
  <c r="T15" i="1" s="1"/>
  <c r="R16" i="1"/>
  <c r="S16" i="1" s="1"/>
  <c r="T16" i="1" s="1"/>
  <c r="R17" i="1"/>
  <c r="S17" i="1" s="1"/>
  <c r="T17" i="1" s="1"/>
  <c r="R18" i="1"/>
  <c r="S18" i="1" s="1"/>
  <c r="T18" i="1" s="1"/>
  <c r="R19" i="1"/>
  <c r="S19" i="1" s="1"/>
  <c r="T19" i="1" s="1"/>
  <c r="R20" i="1"/>
  <c r="S20" i="1" s="1"/>
  <c r="T20" i="1" s="1"/>
  <c r="R21" i="1"/>
  <c r="S21" i="1" s="1"/>
  <c r="T21" i="1" s="1"/>
  <c r="R22" i="1"/>
  <c r="S22" i="1" s="1"/>
  <c r="T22" i="1" s="1"/>
  <c r="R23" i="1"/>
  <c r="S23" i="1" s="1"/>
  <c r="T23" i="1" s="1"/>
  <c r="R24" i="1"/>
  <c r="S24" i="1" s="1"/>
  <c r="T24" i="1" s="1"/>
  <c r="R25" i="1"/>
  <c r="S25" i="1" s="1"/>
  <c r="T25" i="1" s="1"/>
  <c r="R26" i="1"/>
  <c r="S26" i="1" s="1"/>
  <c r="T26" i="1" s="1"/>
  <c r="R27" i="1"/>
  <c r="S27" i="1" s="1"/>
  <c r="T27" i="1" s="1"/>
  <c r="R28" i="1"/>
  <c r="S28" i="1" s="1"/>
  <c r="T28" i="1" s="1"/>
  <c r="R29" i="1"/>
  <c r="S29" i="1" s="1"/>
  <c r="T29" i="1" s="1"/>
  <c r="R30" i="1"/>
  <c r="S30" i="1" s="1"/>
  <c r="T30" i="1" s="1"/>
  <c r="R31" i="1"/>
  <c r="S31" i="1" s="1"/>
  <c r="T31" i="1" s="1"/>
  <c r="R32" i="1"/>
  <c r="S32" i="1" s="1"/>
  <c r="T32" i="1" s="1"/>
  <c r="R33" i="1"/>
  <c r="S33" i="1" s="1"/>
  <c r="T33" i="1" s="1"/>
  <c r="R34" i="1"/>
  <c r="S34" i="1" s="1"/>
  <c r="T34" i="1" s="1"/>
  <c r="R35" i="1"/>
  <c r="S35" i="1" s="1"/>
  <c r="T35" i="1" s="1"/>
  <c r="R36" i="1"/>
  <c r="S36" i="1" s="1"/>
  <c r="T36" i="1" s="1"/>
  <c r="R37" i="1"/>
  <c r="S37" i="1" s="1"/>
  <c r="T37" i="1" s="1"/>
  <c r="R38" i="1"/>
  <c r="S38" i="1" s="1"/>
  <c r="T38" i="1" s="1"/>
  <c r="R39" i="1"/>
  <c r="S39" i="1" s="1"/>
  <c r="T39" i="1" s="1"/>
  <c r="R40" i="1"/>
  <c r="S40" i="1" s="1"/>
  <c r="T40" i="1" s="1"/>
  <c r="R41" i="1"/>
  <c r="S41" i="1" s="1"/>
  <c r="T41" i="1" s="1"/>
  <c r="R42" i="1"/>
  <c r="S42" i="1" s="1"/>
  <c r="T42" i="1" s="1"/>
  <c r="R43" i="1"/>
  <c r="S43" i="1" s="1"/>
  <c r="T43" i="1" s="1"/>
  <c r="R44" i="1"/>
  <c r="S44" i="1" s="1"/>
  <c r="T44" i="1" s="1"/>
  <c r="R45" i="1"/>
  <c r="S45" i="1" s="1"/>
  <c r="T45" i="1" s="1"/>
  <c r="R46" i="1"/>
  <c r="S46" i="1" s="1"/>
  <c r="T46" i="1" s="1"/>
  <c r="R47" i="1"/>
  <c r="S47" i="1" s="1"/>
  <c r="T47" i="1" s="1"/>
  <c r="R48" i="1"/>
  <c r="S48" i="1" s="1"/>
  <c r="T48" i="1" s="1"/>
  <c r="R49" i="1"/>
  <c r="S49" i="1" s="1"/>
  <c r="T49" i="1" s="1"/>
  <c r="R50" i="1"/>
  <c r="S50" i="1" s="1"/>
  <c r="T50" i="1" s="1"/>
  <c r="R51" i="1"/>
  <c r="S51" i="1" s="1"/>
  <c r="T51" i="1" s="1"/>
  <c r="R52" i="1"/>
  <c r="S52" i="1" s="1"/>
  <c r="T52" i="1" s="1"/>
  <c r="R53" i="1"/>
  <c r="S53" i="1" s="1"/>
  <c r="T53" i="1" s="1"/>
  <c r="R54" i="1"/>
  <c r="S54" i="1" s="1"/>
  <c r="T54" i="1" s="1"/>
  <c r="R55" i="1"/>
  <c r="S55" i="1" s="1"/>
  <c r="T55" i="1" s="1"/>
  <c r="R56" i="1"/>
  <c r="S56" i="1" s="1"/>
  <c r="T56" i="1" s="1"/>
  <c r="R57" i="1"/>
  <c r="S57" i="1" s="1"/>
  <c r="T57" i="1" s="1"/>
  <c r="R58" i="1"/>
  <c r="S58" i="1" s="1"/>
  <c r="T58" i="1" s="1"/>
  <c r="R59" i="1"/>
  <c r="S59" i="1" s="1"/>
  <c r="T59" i="1" s="1"/>
  <c r="R60" i="1"/>
  <c r="S60" i="1" s="1"/>
  <c r="T60" i="1" s="1"/>
  <c r="R61" i="1"/>
  <c r="S61" i="1" s="1"/>
  <c r="T61" i="1" s="1"/>
  <c r="R62" i="1"/>
  <c r="S62" i="1" s="1"/>
  <c r="T62" i="1" s="1"/>
  <c r="R63" i="1"/>
  <c r="S63" i="1" s="1"/>
  <c r="T63" i="1" s="1"/>
  <c r="R64" i="1"/>
  <c r="S64" i="1" s="1"/>
  <c r="T64" i="1" s="1"/>
  <c r="R65" i="1"/>
  <c r="S65" i="1" s="1"/>
  <c r="T65" i="1" s="1"/>
  <c r="R66" i="1"/>
  <c r="S66" i="1" s="1"/>
  <c r="T66" i="1" s="1"/>
  <c r="R67" i="1"/>
  <c r="S67" i="1" s="1"/>
  <c r="T67" i="1" s="1"/>
  <c r="R68" i="1"/>
  <c r="S68" i="1" s="1"/>
  <c r="T68" i="1" s="1"/>
  <c r="R69" i="1"/>
  <c r="S69" i="1" s="1"/>
  <c r="T69" i="1" s="1"/>
  <c r="R70" i="1"/>
  <c r="S70" i="1" s="1"/>
  <c r="T70" i="1" s="1"/>
  <c r="R71" i="1"/>
  <c r="S71" i="1" s="1"/>
  <c r="T71" i="1" s="1"/>
  <c r="R72" i="1"/>
  <c r="S72" i="1" s="1"/>
  <c r="T72" i="1" s="1"/>
  <c r="R73" i="1"/>
  <c r="S73" i="1" s="1"/>
  <c r="T73" i="1" s="1"/>
  <c r="R74" i="1"/>
  <c r="S74" i="1" s="1"/>
  <c r="T74" i="1" s="1"/>
  <c r="R75" i="1"/>
  <c r="S75" i="1" s="1"/>
  <c r="T75" i="1" s="1"/>
  <c r="R76" i="1"/>
  <c r="S76" i="1" s="1"/>
  <c r="T76" i="1" s="1"/>
  <c r="R77" i="1"/>
  <c r="S77" i="1" s="1"/>
  <c r="T77" i="1" s="1"/>
  <c r="R78" i="1"/>
  <c r="S78" i="1" s="1"/>
  <c r="T78" i="1" s="1"/>
  <c r="R79" i="1"/>
  <c r="S79" i="1" s="1"/>
  <c r="T79" i="1" s="1"/>
  <c r="R80" i="1"/>
  <c r="S80" i="1" s="1"/>
  <c r="T80" i="1" s="1"/>
  <c r="R81" i="1"/>
  <c r="S81" i="1" s="1"/>
  <c r="T81" i="1" s="1"/>
  <c r="R82" i="1"/>
  <c r="S82" i="1" s="1"/>
  <c r="T82" i="1" s="1"/>
  <c r="R83" i="1"/>
  <c r="S83" i="1" s="1"/>
  <c r="T83" i="1" s="1"/>
  <c r="R84" i="1"/>
  <c r="S84" i="1" s="1"/>
  <c r="T84" i="1" s="1"/>
  <c r="R85" i="1"/>
  <c r="S85" i="1" s="1"/>
  <c r="T85" i="1" s="1"/>
  <c r="R86" i="1"/>
  <c r="S86" i="1" s="1"/>
  <c r="T86" i="1" s="1"/>
  <c r="R87" i="1"/>
  <c r="S87" i="1" s="1"/>
  <c r="T87" i="1" s="1"/>
  <c r="R88" i="1"/>
  <c r="S88" i="1" s="1"/>
  <c r="T88" i="1" s="1"/>
  <c r="R89" i="1"/>
  <c r="S89" i="1" s="1"/>
  <c r="T89" i="1" s="1"/>
  <c r="R90" i="1"/>
  <c r="S90" i="1" s="1"/>
  <c r="T90" i="1" s="1"/>
  <c r="R91" i="1"/>
  <c r="S91" i="1" s="1"/>
  <c r="T91" i="1" s="1"/>
  <c r="R92" i="1"/>
  <c r="S92" i="1" s="1"/>
  <c r="T92" i="1" s="1"/>
  <c r="R93" i="1"/>
  <c r="S93" i="1" s="1"/>
  <c r="T93" i="1" s="1"/>
  <c r="R94" i="1"/>
  <c r="S94" i="1" s="1"/>
  <c r="T94" i="1" s="1"/>
  <c r="R95" i="1"/>
  <c r="S95" i="1" s="1"/>
  <c r="T95" i="1" s="1"/>
  <c r="R96" i="1"/>
  <c r="S96" i="1" s="1"/>
  <c r="T96" i="1" s="1"/>
  <c r="R97" i="1"/>
  <c r="S97" i="1" s="1"/>
  <c r="T97" i="1" s="1"/>
  <c r="R98" i="1"/>
  <c r="S98" i="1" s="1"/>
  <c r="T98" i="1" s="1"/>
  <c r="R99" i="1"/>
  <c r="S99" i="1" s="1"/>
  <c r="T99" i="1" s="1"/>
  <c r="R100" i="1"/>
  <c r="S100" i="1" s="1"/>
  <c r="T100" i="1" s="1"/>
  <c r="R101" i="1"/>
  <c r="S101" i="1" s="1"/>
  <c r="T101" i="1" s="1"/>
  <c r="R102" i="1"/>
  <c r="S102" i="1" s="1"/>
  <c r="T102" i="1" s="1"/>
  <c r="R103" i="1"/>
  <c r="S103" i="1" s="1"/>
  <c r="T103" i="1" s="1"/>
  <c r="R104" i="1"/>
  <c r="S104" i="1" s="1"/>
  <c r="T104" i="1" s="1"/>
  <c r="R105" i="1"/>
  <c r="S105" i="1" s="1"/>
  <c r="T105" i="1" s="1"/>
  <c r="R106" i="1"/>
  <c r="S106" i="1" s="1"/>
  <c r="T106" i="1" s="1"/>
  <c r="R107" i="1"/>
  <c r="S107" i="1" s="1"/>
  <c r="T107" i="1" s="1"/>
  <c r="R108" i="1"/>
  <c r="S108" i="1" s="1"/>
  <c r="T108" i="1" s="1"/>
  <c r="R109" i="1"/>
  <c r="S109" i="1" s="1"/>
  <c r="T109" i="1" s="1"/>
  <c r="R110" i="1"/>
  <c r="S110" i="1" s="1"/>
  <c r="T110" i="1" s="1"/>
  <c r="R111" i="1"/>
  <c r="S111" i="1" s="1"/>
  <c r="T111" i="1" s="1"/>
  <c r="R112" i="1"/>
  <c r="S112" i="1" s="1"/>
  <c r="T112" i="1" s="1"/>
  <c r="R113" i="1"/>
  <c r="S113" i="1" s="1"/>
  <c r="T113" i="1" s="1"/>
  <c r="R114" i="1"/>
  <c r="S114" i="1" s="1"/>
  <c r="T114" i="1" s="1"/>
  <c r="R115" i="1"/>
  <c r="S115" i="1" s="1"/>
  <c r="T115" i="1" s="1"/>
  <c r="R116" i="1"/>
  <c r="S116" i="1" s="1"/>
  <c r="T116" i="1" s="1"/>
  <c r="R117" i="1"/>
  <c r="S117" i="1" s="1"/>
  <c r="T117" i="1" s="1"/>
  <c r="R118" i="1"/>
  <c r="S118" i="1" s="1"/>
  <c r="T118" i="1" s="1"/>
  <c r="R119" i="1"/>
  <c r="S119" i="1" s="1"/>
  <c r="T119" i="1" s="1"/>
  <c r="R120" i="1"/>
  <c r="S120" i="1" s="1"/>
  <c r="T120" i="1" s="1"/>
  <c r="R121" i="1"/>
  <c r="S121" i="1" s="1"/>
  <c r="T121" i="1" s="1"/>
  <c r="R122" i="1"/>
  <c r="S122" i="1" s="1"/>
  <c r="T122" i="1" s="1"/>
  <c r="R123" i="1"/>
  <c r="S123" i="1" s="1"/>
  <c r="T123" i="1" s="1"/>
  <c r="R124" i="1"/>
  <c r="S124" i="1" s="1"/>
  <c r="T124" i="1" s="1"/>
  <c r="R125" i="1"/>
  <c r="S125" i="1" s="1"/>
  <c r="T125" i="1" s="1"/>
  <c r="R126" i="1"/>
  <c r="S126" i="1" s="1"/>
  <c r="T126" i="1" s="1"/>
  <c r="R127" i="1"/>
  <c r="S127" i="1" s="1"/>
  <c r="T127" i="1" s="1"/>
  <c r="R128" i="1"/>
  <c r="S128" i="1" s="1"/>
  <c r="T128" i="1" s="1"/>
  <c r="R129" i="1"/>
  <c r="S129" i="1" s="1"/>
  <c r="T129" i="1" s="1"/>
  <c r="R130" i="1"/>
  <c r="S130" i="1" s="1"/>
  <c r="T130" i="1" s="1"/>
  <c r="R131" i="1"/>
  <c r="S131" i="1" s="1"/>
  <c r="T131" i="1" s="1"/>
  <c r="R132" i="1"/>
  <c r="S132" i="1" s="1"/>
  <c r="T132" i="1" s="1"/>
  <c r="R133" i="1"/>
  <c r="S133" i="1" s="1"/>
  <c r="T133" i="1" s="1"/>
  <c r="R134" i="1"/>
  <c r="S134" i="1" s="1"/>
  <c r="T134" i="1" s="1"/>
  <c r="R135" i="1"/>
  <c r="S135" i="1" s="1"/>
  <c r="T135" i="1" s="1"/>
  <c r="R136" i="1"/>
  <c r="S136" i="1" s="1"/>
  <c r="T136" i="1" s="1"/>
  <c r="R137" i="1"/>
  <c r="S137" i="1" s="1"/>
  <c r="T137" i="1" s="1"/>
  <c r="R138" i="1"/>
  <c r="S138" i="1" s="1"/>
  <c r="T138" i="1" s="1"/>
  <c r="R139" i="1"/>
  <c r="S139" i="1" s="1"/>
  <c r="T139" i="1" s="1"/>
  <c r="R140" i="1"/>
  <c r="S140" i="1" s="1"/>
  <c r="T140" i="1" s="1"/>
  <c r="R141" i="1"/>
  <c r="S141" i="1" s="1"/>
  <c r="T141" i="1" s="1"/>
  <c r="R142" i="1"/>
  <c r="S142" i="1" s="1"/>
  <c r="T142" i="1" s="1"/>
  <c r="R143" i="1"/>
  <c r="S143" i="1" s="1"/>
  <c r="T143" i="1" s="1"/>
  <c r="R144" i="1"/>
  <c r="S144" i="1" s="1"/>
  <c r="T144" i="1" s="1"/>
  <c r="R145" i="1"/>
  <c r="S145" i="1" s="1"/>
  <c r="T145" i="1" s="1"/>
  <c r="R146" i="1"/>
  <c r="S146" i="1" s="1"/>
  <c r="T146" i="1" s="1"/>
  <c r="R147" i="1"/>
  <c r="S147" i="1" s="1"/>
  <c r="T147" i="1" s="1"/>
  <c r="R148" i="1"/>
  <c r="S148" i="1" s="1"/>
  <c r="T148" i="1" s="1"/>
  <c r="R149" i="1"/>
  <c r="S149" i="1" s="1"/>
  <c r="T149" i="1" s="1"/>
  <c r="R150" i="1"/>
  <c r="S150" i="1" s="1"/>
  <c r="T150" i="1" s="1"/>
  <c r="R151" i="1"/>
  <c r="S151" i="1" s="1"/>
  <c r="T151" i="1" s="1"/>
  <c r="R152" i="1"/>
  <c r="S152" i="1" s="1"/>
  <c r="T152" i="1" s="1"/>
  <c r="R153" i="1"/>
  <c r="S153" i="1" s="1"/>
  <c r="T153" i="1" s="1"/>
  <c r="R154" i="1"/>
  <c r="S154" i="1" s="1"/>
  <c r="T154" i="1" s="1"/>
  <c r="R155" i="1"/>
  <c r="S155" i="1" s="1"/>
  <c r="T155" i="1" s="1"/>
  <c r="R156" i="1"/>
  <c r="S156" i="1" s="1"/>
  <c r="T156" i="1" s="1"/>
  <c r="R157" i="1"/>
  <c r="S157" i="1" s="1"/>
  <c r="T157" i="1" s="1"/>
  <c r="R158" i="1"/>
  <c r="S158" i="1" s="1"/>
  <c r="T158" i="1" s="1"/>
  <c r="R159" i="1"/>
  <c r="S159" i="1" s="1"/>
  <c r="T159" i="1" s="1"/>
  <c r="R160" i="1"/>
  <c r="S160" i="1" s="1"/>
  <c r="T160" i="1" s="1"/>
  <c r="R161" i="1"/>
  <c r="S161" i="1" s="1"/>
  <c r="T161" i="1" s="1"/>
  <c r="R162" i="1"/>
  <c r="S162" i="1" s="1"/>
  <c r="T162" i="1" s="1"/>
  <c r="R163" i="1"/>
  <c r="S163" i="1" s="1"/>
  <c r="T163" i="1" s="1"/>
  <c r="R164" i="1"/>
  <c r="S164" i="1" s="1"/>
  <c r="T164" i="1" s="1"/>
  <c r="R165" i="1"/>
  <c r="S165" i="1" s="1"/>
  <c r="T165" i="1" s="1"/>
  <c r="R166" i="1"/>
  <c r="S166" i="1" s="1"/>
  <c r="T166" i="1" s="1"/>
  <c r="R167" i="1"/>
  <c r="S167" i="1" s="1"/>
  <c r="T167" i="1" s="1"/>
  <c r="R168" i="1"/>
  <c r="S168" i="1" s="1"/>
  <c r="T168" i="1" s="1"/>
  <c r="R169" i="1"/>
  <c r="S169" i="1" s="1"/>
  <c r="T169" i="1" s="1"/>
  <c r="R170" i="1"/>
  <c r="S170" i="1" s="1"/>
  <c r="T170" i="1" s="1"/>
  <c r="R171" i="1"/>
  <c r="S171" i="1" s="1"/>
  <c r="T171" i="1" s="1"/>
  <c r="R172" i="1"/>
  <c r="S172" i="1" s="1"/>
  <c r="T172" i="1" s="1"/>
  <c r="R173" i="1"/>
  <c r="S173" i="1" s="1"/>
  <c r="T173" i="1" s="1"/>
  <c r="R174" i="1"/>
  <c r="S174" i="1" s="1"/>
  <c r="T174" i="1" s="1"/>
  <c r="R175" i="1"/>
  <c r="S175" i="1" s="1"/>
  <c r="T175" i="1" s="1"/>
  <c r="R176" i="1"/>
  <c r="S176" i="1" s="1"/>
  <c r="T176" i="1" s="1"/>
  <c r="R177" i="1"/>
  <c r="S177" i="1" s="1"/>
  <c r="T177" i="1" s="1"/>
  <c r="R178" i="1"/>
  <c r="S178" i="1" s="1"/>
  <c r="T178" i="1" s="1"/>
  <c r="R179" i="1"/>
  <c r="S179" i="1" s="1"/>
  <c r="T179" i="1" s="1"/>
  <c r="R180" i="1"/>
  <c r="S180" i="1" s="1"/>
  <c r="T180" i="1" s="1"/>
  <c r="R181" i="1"/>
  <c r="S181" i="1" s="1"/>
  <c r="T181" i="1" s="1"/>
  <c r="R182" i="1"/>
  <c r="S182" i="1" s="1"/>
  <c r="T182" i="1" s="1"/>
  <c r="R183" i="1"/>
  <c r="S183" i="1" s="1"/>
  <c r="T183" i="1" s="1"/>
  <c r="R184" i="1"/>
  <c r="S184" i="1" s="1"/>
  <c r="T184" i="1" s="1"/>
  <c r="R185" i="1"/>
  <c r="S185" i="1" s="1"/>
  <c r="T185" i="1" s="1"/>
  <c r="R186" i="1"/>
  <c r="S186" i="1" s="1"/>
  <c r="T186" i="1" s="1"/>
  <c r="R187" i="1"/>
  <c r="S187" i="1" s="1"/>
  <c r="T187" i="1" s="1"/>
  <c r="R188" i="1"/>
  <c r="S188" i="1" s="1"/>
  <c r="T188" i="1" s="1"/>
  <c r="R189" i="1"/>
  <c r="S189" i="1" s="1"/>
  <c r="T189" i="1" s="1"/>
  <c r="R190" i="1"/>
  <c r="S190" i="1" s="1"/>
  <c r="T190" i="1" s="1"/>
  <c r="R191" i="1"/>
  <c r="S191" i="1" s="1"/>
  <c r="T191" i="1" s="1"/>
  <c r="R192" i="1"/>
  <c r="S192" i="1" s="1"/>
  <c r="T192" i="1" s="1"/>
  <c r="R193" i="1"/>
  <c r="S193" i="1" s="1"/>
  <c r="T193" i="1" s="1"/>
  <c r="R194" i="1"/>
  <c r="S194" i="1" s="1"/>
  <c r="T194" i="1" s="1"/>
  <c r="R195" i="1"/>
  <c r="S195" i="1" s="1"/>
  <c r="T195" i="1" s="1"/>
  <c r="R196" i="1"/>
  <c r="S196" i="1" s="1"/>
  <c r="T196" i="1" s="1"/>
  <c r="R197" i="1"/>
  <c r="S197" i="1" s="1"/>
  <c r="T197" i="1" s="1"/>
  <c r="R198" i="1"/>
  <c r="S198" i="1" s="1"/>
  <c r="T198" i="1" s="1"/>
  <c r="R199" i="1"/>
  <c r="S199" i="1" s="1"/>
  <c r="T199" i="1" s="1"/>
  <c r="R200" i="1"/>
  <c r="S200" i="1" s="1"/>
  <c r="T200" i="1" s="1"/>
  <c r="R201" i="1"/>
  <c r="S201" i="1" s="1"/>
  <c r="T201" i="1" s="1"/>
  <c r="R202" i="1"/>
  <c r="S202" i="1" s="1"/>
  <c r="T202" i="1" s="1"/>
  <c r="R203" i="1"/>
  <c r="S203" i="1" s="1"/>
  <c r="T203" i="1" s="1"/>
  <c r="R204" i="1"/>
  <c r="S204" i="1" s="1"/>
  <c r="T204" i="1" s="1"/>
  <c r="R205" i="1"/>
  <c r="S205" i="1" s="1"/>
  <c r="T205" i="1" s="1"/>
  <c r="R206" i="1"/>
  <c r="S206" i="1" s="1"/>
  <c r="T206" i="1" s="1"/>
  <c r="R207" i="1"/>
  <c r="S207" i="1" s="1"/>
  <c r="T207" i="1" s="1"/>
  <c r="R208" i="1"/>
  <c r="S208" i="1" s="1"/>
  <c r="T208" i="1" s="1"/>
  <c r="R209" i="1"/>
  <c r="S209" i="1" s="1"/>
  <c r="T209" i="1" s="1"/>
  <c r="R210" i="1"/>
  <c r="S210" i="1" s="1"/>
  <c r="T210" i="1" s="1"/>
  <c r="R211" i="1"/>
  <c r="S211" i="1" s="1"/>
  <c r="T211" i="1" s="1"/>
  <c r="R212" i="1"/>
  <c r="S212" i="1" s="1"/>
  <c r="T212" i="1" s="1"/>
  <c r="R213" i="1"/>
  <c r="S213" i="1" s="1"/>
  <c r="T213" i="1" s="1"/>
  <c r="R214" i="1"/>
  <c r="S214" i="1" s="1"/>
  <c r="T214" i="1" s="1"/>
  <c r="R215" i="1"/>
  <c r="S215" i="1" s="1"/>
  <c r="T215" i="1" s="1"/>
  <c r="R216" i="1"/>
  <c r="S216" i="1" s="1"/>
  <c r="T216" i="1" s="1"/>
  <c r="R217" i="1"/>
  <c r="S217" i="1" s="1"/>
  <c r="T217" i="1" s="1"/>
  <c r="R218" i="1"/>
  <c r="S218" i="1" s="1"/>
  <c r="T218" i="1" s="1"/>
  <c r="R219" i="1"/>
  <c r="S219" i="1" s="1"/>
  <c r="T219" i="1" s="1"/>
  <c r="R220" i="1"/>
  <c r="S220" i="1" s="1"/>
  <c r="T220" i="1" s="1"/>
  <c r="R221" i="1"/>
  <c r="S221" i="1" s="1"/>
  <c r="T221" i="1" s="1"/>
  <c r="R222" i="1"/>
  <c r="S222" i="1" s="1"/>
  <c r="T222" i="1" s="1"/>
  <c r="R223" i="1"/>
  <c r="S223" i="1" s="1"/>
  <c r="T223" i="1" s="1"/>
  <c r="R224" i="1"/>
  <c r="S224" i="1" s="1"/>
  <c r="T224" i="1" s="1"/>
  <c r="R225" i="1"/>
  <c r="S225" i="1" s="1"/>
  <c r="T225" i="1" s="1"/>
  <c r="R226" i="1"/>
  <c r="S226" i="1" s="1"/>
  <c r="T226" i="1" s="1"/>
  <c r="R227" i="1"/>
  <c r="S227" i="1" s="1"/>
  <c r="T227" i="1" s="1"/>
  <c r="R228" i="1"/>
  <c r="S228" i="1" s="1"/>
  <c r="T228" i="1" s="1"/>
  <c r="R229" i="1"/>
  <c r="S229" i="1" s="1"/>
  <c r="T229" i="1" s="1"/>
  <c r="R230" i="1"/>
  <c r="S230" i="1" s="1"/>
  <c r="T230" i="1" s="1"/>
  <c r="R231" i="1"/>
  <c r="S231" i="1" s="1"/>
  <c r="T231" i="1" s="1"/>
  <c r="R232" i="1"/>
  <c r="S232" i="1" s="1"/>
  <c r="T232" i="1" s="1"/>
  <c r="R233" i="1"/>
  <c r="S233" i="1" s="1"/>
  <c r="T233" i="1" s="1"/>
  <c r="R234" i="1"/>
  <c r="S234" i="1" s="1"/>
  <c r="T234" i="1" s="1"/>
  <c r="R235" i="1"/>
  <c r="S235" i="1" s="1"/>
  <c r="T235" i="1" s="1"/>
  <c r="R236" i="1"/>
  <c r="S236" i="1" s="1"/>
  <c r="T236" i="1" s="1"/>
  <c r="R237" i="1"/>
  <c r="S237" i="1" s="1"/>
  <c r="T237" i="1" s="1"/>
  <c r="R238" i="1"/>
  <c r="S238" i="1" s="1"/>
  <c r="T238" i="1" s="1"/>
  <c r="R239" i="1"/>
  <c r="S239" i="1" s="1"/>
  <c r="T239" i="1" s="1"/>
  <c r="R240" i="1"/>
  <c r="S240" i="1" s="1"/>
  <c r="T240" i="1" s="1"/>
  <c r="R241" i="1"/>
  <c r="S241" i="1" s="1"/>
  <c r="T241" i="1" s="1"/>
  <c r="R242" i="1"/>
  <c r="S242" i="1" s="1"/>
  <c r="T242" i="1" s="1"/>
  <c r="R243" i="1"/>
  <c r="S243" i="1" s="1"/>
  <c r="T243" i="1" s="1"/>
  <c r="R244" i="1"/>
  <c r="S244" i="1" s="1"/>
  <c r="T244" i="1" s="1"/>
  <c r="R245" i="1"/>
  <c r="S245" i="1" s="1"/>
  <c r="T245" i="1" s="1"/>
  <c r="R246" i="1"/>
  <c r="S246" i="1" s="1"/>
  <c r="T246" i="1" s="1"/>
  <c r="R247" i="1"/>
  <c r="S247" i="1" s="1"/>
  <c r="T247" i="1" s="1"/>
  <c r="R248" i="1"/>
  <c r="S248" i="1" s="1"/>
  <c r="T248" i="1" s="1"/>
  <c r="R249" i="1"/>
  <c r="S249" i="1" s="1"/>
  <c r="T249" i="1" s="1"/>
  <c r="R250" i="1"/>
  <c r="S250" i="1" s="1"/>
  <c r="T250" i="1" s="1"/>
  <c r="R251" i="1"/>
  <c r="S251" i="1" s="1"/>
  <c r="T251" i="1" s="1"/>
  <c r="R252" i="1"/>
  <c r="S252" i="1" s="1"/>
  <c r="T252" i="1" s="1"/>
  <c r="R253" i="1"/>
  <c r="S253" i="1" s="1"/>
  <c r="T253" i="1" s="1"/>
  <c r="R254" i="1"/>
  <c r="S254" i="1" s="1"/>
  <c r="T254" i="1" s="1"/>
  <c r="R255" i="1"/>
  <c r="S255" i="1" s="1"/>
  <c r="T255" i="1" s="1"/>
  <c r="R256" i="1"/>
  <c r="S256" i="1" s="1"/>
  <c r="T256" i="1" s="1"/>
  <c r="R257" i="1"/>
  <c r="S257" i="1" s="1"/>
  <c r="T257" i="1" s="1"/>
  <c r="R258" i="1"/>
  <c r="S258" i="1" s="1"/>
  <c r="T258" i="1" s="1"/>
  <c r="R259" i="1"/>
  <c r="S259" i="1" s="1"/>
  <c r="T259" i="1" s="1"/>
  <c r="R260" i="1"/>
  <c r="S260" i="1" s="1"/>
  <c r="T260" i="1" s="1"/>
  <c r="R261" i="1"/>
  <c r="S261" i="1" s="1"/>
  <c r="T261" i="1" s="1"/>
  <c r="R262" i="1"/>
  <c r="S262" i="1" s="1"/>
  <c r="T262" i="1" s="1"/>
  <c r="R263" i="1"/>
  <c r="S263" i="1" s="1"/>
  <c r="T263" i="1" s="1"/>
  <c r="R264" i="1"/>
  <c r="S264" i="1" s="1"/>
  <c r="T264" i="1" s="1"/>
  <c r="R265" i="1"/>
  <c r="S265" i="1" s="1"/>
  <c r="T265" i="1" s="1"/>
  <c r="R266" i="1"/>
  <c r="S266" i="1" s="1"/>
  <c r="T266" i="1" s="1"/>
  <c r="R267" i="1"/>
  <c r="S267" i="1" s="1"/>
  <c r="T267" i="1" s="1"/>
  <c r="R268" i="1"/>
  <c r="S268" i="1" s="1"/>
  <c r="T268" i="1" s="1"/>
  <c r="R269" i="1"/>
  <c r="S269" i="1" s="1"/>
  <c r="T269" i="1" s="1"/>
  <c r="R270" i="1"/>
  <c r="S270" i="1" s="1"/>
  <c r="T270" i="1" s="1"/>
  <c r="R271" i="1"/>
  <c r="S271" i="1" s="1"/>
  <c r="T271" i="1" s="1"/>
  <c r="R272" i="1"/>
  <c r="S272" i="1" s="1"/>
  <c r="T272" i="1" s="1"/>
  <c r="R273" i="1"/>
  <c r="S273" i="1" s="1"/>
  <c r="T273" i="1" s="1"/>
  <c r="R274" i="1"/>
  <c r="S274" i="1" s="1"/>
  <c r="T274" i="1" s="1"/>
  <c r="R275" i="1"/>
  <c r="S275" i="1" s="1"/>
  <c r="T275" i="1" s="1"/>
  <c r="R276" i="1"/>
  <c r="S276" i="1" s="1"/>
  <c r="T276" i="1" s="1"/>
  <c r="R277" i="1"/>
  <c r="S277" i="1" s="1"/>
  <c r="T277" i="1" s="1"/>
  <c r="R278" i="1"/>
  <c r="S278" i="1" s="1"/>
  <c r="T278" i="1" s="1"/>
  <c r="R279" i="1"/>
  <c r="S279" i="1" s="1"/>
  <c r="T279" i="1" s="1"/>
  <c r="R280" i="1"/>
  <c r="S280" i="1" s="1"/>
  <c r="T280" i="1" s="1"/>
  <c r="R281" i="1"/>
  <c r="S281" i="1" s="1"/>
  <c r="T281" i="1" s="1"/>
  <c r="R282" i="1"/>
  <c r="S282" i="1" s="1"/>
  <c r="T282" i="1" s="1"/>
  <c r="R283" i="1"/>
  <c r="S283" i="1" s="1"/>
  <c r="T283" i="1" s="1"/>
  <c r="R284" i="1"/>
  <c r="S284" i="1" s="1"/>
  <c r="T284" i="1" s="1"/>
  <c r="R285" i="1"/>
  <c r="S285" i="1" s="1"/>
  <c r="T285" i="1" s="1"/>
  <c r="R286" i="1"/>
  <c r="S286" i="1" s="1"/>
  <c r="T286" i="1" s="1"/>
  <c r="R287" i="1"/>
  <c r="S287" i="1" s="1"/>
  <c r="T287" i="1" s="1"/>
  <c r="R288" i="1"/>
  <c r="S288" i="1" s="1"/>
  <c r="T288" i="1" s="1"/>
  <c r="R289" i="1"/>
  <c r="S289" i="1" s="1"/>
  <c r="T289" i="1" s="1"/>
  <c r="R290" i="1"/>
  <c r="S290" i="1" s="1"/>
  <c r="T290" i="1" s="1"/>
  <c r="R291" i="1"/>
  <c r="S291" i="1" s="1"/>
  <c r="T291" i="1" s="1"/>
  <c r="R292" i="1"/>
  <c r="S292" i="1" s="1"/>
  <c r="T292" i="1" s="1"/>
  <c r="R293" i="1"/>
  <c r="S293" i="1" s="1"/>
  <c r="T293" i="1" s="1"/>
  <c r="R294" i="1"/>
  <c r="S294" i="1" s="1"/>
  <c r="T294" i="1" s="1"/>
  <c r="R295" i="1"/>
  <c r="S295" i="1" s="1"/>
  <c r="T295" i="1" s="1"/>
  <c r="R296" i="1"/>
  <c r="S296" i="1" s="1"/>
  <c r="T296" i="1" s="1"/>
  <c r="R297" i="1"/>
  <c r="S297" i="1" s="1"/>
  <c r="T297" i="1" s="1"/>
  <c r="R298" i="1"/>
  <c r="S298" i="1" s="1"/>
  <c r="T298" i="1" s="1"/>
  <c r="R299" i="1"/>
  <c r="S299" i="1" s="1"/>
  <c r="T299" i="1" s="1"/>
  <c r="R300" i="1"/>
  <c r="S300" i="1" s="1"/>
  <c r="T300" i="1" s="1"/>
  <c r="R301" i="1"/>
  <c r="S301" i="1" s="1"/>
  <c r="T301" i="1" s="1"/>
  <c r="R302" i="1"/>
  <c r="S302" i="1" s="1"/>
  <c r="T302" i="1" s="1"/>
  <c r="R303" i="1"/>
  <c r="S303" i="1" s="1"/>
  <c r="T303" i="1" s="1"/>
  <c r="R304" i="1"/>
  <c r="S304" i="1" s="1"/>
  <c r="T304" i="1" s="1"/>
  <c r="R305" i="1"/>
  <c r="S305" i="1" s="1"/>
  <c r="T305" i="1" s="1"/>
  <c r="R306" i="1"/>
  <c r="S306" i="1" s="1"/>
  <c r="T306" i="1" s="1"/>
  <c r="R307" i="1"/>
  <c r="S307" i="1" s="1"/>
  <c r="T307" i="1" s="1"/>
  <c r="R308" i="1"/>
  <c r="S308" i="1" s="1"/>
  <c r="T308" i="1" s="1"/>
  <c r="R309" i="1"/>
  <c r="S309" i="1" s="1"/>
  <c r="T309" i="1" s="1"/>
  <c r="R310" i="1"/>
  <c r="S310" i="1" s="1"/>
  <c r="T310" i="1" s="1"/>
  <c r="R311" i="1"/>
  <c r="S311" i="1" s="1"/>
  <c r="T311" i="1" s="1"/>
  <c r="R312" i="1"/>
  <c r="S312" i="1" s="1"/>
  <c r="T312" i="1" s="1"/>
  <c r="R313" i="1"/>
  <c r="S313" i="1" s="1"/>
  <c r="T313" i="1" s="1"/>
  <c r="R314" i="1"/>
  <c r="S314" i="1" s="1"/>
  <c r="T314" i="1" s="1"/>
  <c r="R315" i="1"/>
  <c r="S315" i="1" s="1"/>
  <c r="T315" i="1" s="1"/>
  <c r="R316" i="1"/>
  <c r="S316" i="1" s="1"/>
  <c r="T316" i="1" s="1"/>
  <c r="R317" i="1"/>
  <c r="S317" i="1" s="1"/>
  <c r="T317" i="1" s="1"/>
  <c r="R318" i="1"/>
  <c r="S318" i="1" s="1"/>
  <c r="T318" i="1" s="1"/>
  <c r="R319" i="1"/>
  <c r="S319" i="1" s="1"/>
  <c r="T319" i="1" s="1"/>
  <c r="R320" i="1"/>
  <c r="S320" i="1" s="1"/>
  <c r="T320" i="1" s="1"/>
  <c r="R321" i="1"/>
  <c r="S321" i="1" s="1"/>
  <c r="T321" i="1" s="1"/>
  <c r="R322" i="1"/>
  <c r="S322" i="1" s="1"/>
  <c r="T322" i="1" s="1"/>
  <c r="R323" i="1"/>
  <c r="S323" i="1" s="1"/>
  <c r="T323" i="1" s="1"/>
  <c r="R324" i="1"/>
  <c r="S324" i="1" s="1"/>
  <c r="T324" i="1" s="1"/>
  <c r="R325" i="1"/>
  <c r="S325" i="1" s="1"/>
  <c r="T325" i="1" s="1"/>
  <c r="R326" i="1"/>
  <c r="S326" i="1" s="1"/>
  <c r="T326" i="1" s="1"/>
  <c r="R327" i="1"/>
  <c r="S327" i="1" s="1"/>
  <c r="T327" i="1" s="1"/>
  <c r="R328" i="1"/>
  <c r="S328" i="1" s="1"/>
  <c r="T328" i="1" s="1"/>
  <c r="R329" i="1"/>
  <c r="S329" i="1" s="1"/>
  <c r="T329" i="1" s="1"/>
  <c r="R330" i="1"/>
  <c r="S330" i="1" s="1"/>
  <c r="T330" i="1" s="1"/>
  <c r="R331" i="1"/>
  <c r="S331" i="1" s="1"/>
  <c r="T331" i="1" s="1"/>
  <c r="R332" i="1"/>
  <c r="S332" i="1" s="1"/>
  <c r="T332" i="1" s="1"/>
  <c r="R333" i="1"/>
  <c r="S333" i="1" s="1"/>
  <c r="T333" i="1" s="1"/>
  <c r="R334" i="1"/>
  <c r="S334" i="1" s="1"/>
  <c r="T334" i="1" s="1"/>
  <c r="R335" i="1"/>
  <c r="S335" i="1" s="1"/>
  <c r="T335" i="1" s="1"/>
  <c r="R336" i="1"/>
  <c r="S336" i="1" s="1"/>
  <c r="T336" i="1" s="1"/>
  <c r="R337" i="1"/>
  <c r="S337" i="1" s="1"/>
  <c r="T337" i="1" s="1"/>
  <c r="R338" i="1"/>
  <c r="S338" i="1" s="1"/>
  <c r="T338" i="1" s="1"/>
  <c r="R339" i="1"/>
  <c r="S339" i="1" s="1"/>
  <c r="T339" i="1" s="1"/>
  <c r="R340" i="1"/>
  <c r="S340" i="1" s="1"/>
  <c r="T340" i="1" s="1"/>
  <c r="R341" i="1"/>
  <c r="S341" i="1" s="1"/>
  <c r="T341" i="1" s="1"/>
  <c r="R342" i="1"/>
  <c r="S342" i="1" s="1"/>
  <c r="T342" i="1" s="1"/>
  <c r="R343" i="1"/>
  <c r="S343" i="1" s="1"/>
  <c r="T343" i="1" s="1"/>
  <c r="R344" i="1"/>
  <c r="S344" i="1" s="1"/>
  <c r="T344" i="1" s="1"/>
  <c r="R345" i="1"/>
  <c r="S345" i="1" s="1"/>
  <c r="T345" i="1" s="1"/>
  <c r="R346" i="1"/>
  <c r="S346" i="1" s="1"/>
  <c r="T346" i="1" s="1"/>
  <c r="R347" i="1"/>
  <c r="S347" i="1" s="1"/>
  <c r="T347" i="1" s="1"/>
  <c r="R348" i="1"/>
  <c r="S348" i="1" s="1"/>
  <c r="T348" i="1" s="1"/>
  <c r="R349" i="1"/>
  <c r="S349" i="1" s="1"/>
  <c r="T349" i="1" s="1"/>
  <c r="R350" i="1"/>
  <c r="S350" i="1" s="1"/>
  <c r="T350" i="1" s="1"/>
  <c r="R351" i="1"/>
  <c r="S351" i="1" s="1"/>
  <c r="T351" i="1" s="1"/>
  <c r="R352" i="1"/>
  <c r="S352" i="1" s="1"/>
  <c r="T352" i="1" s="1"/>
  <c r="R353" i="1"/>
  <c r="S353" i="1" s="1"/>
  <c r="T353" i="1" s="1"/>
</calcChain>
</file>

<file path=xl/sharedStrings.xml><?xml version="1.0" encoding="utf-8"?>
<sst xmlns="http://schemas.openxmlformats.org/spreadsheetml/2006/main" count="458" uniqueCount="54">
  <si>
    <t xml:space="preserve">DEPARTAMENTO </t>
  </si>
  <si>
    <t>AÑO</t>
  </si>
  <si>
    <t>id</t>
  </si>
  <si>
    <t>coberturaedusuperior</t>
  </si>
  <si>
    <t>PIBDEPARTAMENTALprecioscorrientes_DANE</t>
  </si>
  <si>
    <t>PIBDEP2015_DANE</t>
  </si>
  <si>
    <t>desempfiscal_PROSPERIDADSOCIAL</t>
  </si>
  <si>
    <t>GiniPais_DANE</t>
  </si>
  <si>
    <t>GiniDepartametal_DANE</t>
  </si>
  <si>
    <t>SGP_DNP</t>
  </si>
  <si>
    <t>SGP2015_DNP</t>
  </si>
  <si>
    <t>NUMERO_FAMILIAS_PROSPERIDADSOCIAL</t>
  </si>
  <si>
    <t>POBLACION_TOTAL_DANE</t>
  </si>
  <si>
    <t>M_FM2015</t>
  </si>
  <si>
    <t>M_PRO2015</t>
  </si>
  <si>
    <t>PIB2015</t>
  </si>
  <si>
    <t>FAMILIAS_EN_ACCION</t>
  </si>
  <si>
    <t>FAMILIAS_EN_ACCION2015</t>
  </si>
  <si>
    <t>PORCENTAJE</t>
  </si>
  <si>
    <t>POR_DIV_100</t>
  </si>
  <si>
    <t>Nor. Santander</t>
  </si>
  <si>
    <t>Quindío</t>
  </si>
  <si>
    <t>Cundinamarca</t>
  </si>
  <si>
    <t>Antioquia</t>
  </si>
  <si>
    <t>Valle del Cauca</t>
  </si>
  <si>
    <t xml:space="preserve">Santander </t>
  </si>
  <si>
    <t xml:space="preserve">Bolivar </t>
  </si>
  <si>
    <t>Nariño</t>
  </si>
  <si>
    <t>Tolima</t>
  </si>
  <si>
    <t>Boyaca</t>
  </si>
  <si>
    <t>Caldas</t>
  </si>
  <si>
    <t>Atlantico</t>
  </si>
  <si>
    <t>Amazonas</t>
  </si>
  <si>
    <t>Arauca</t>
  </si>
  <si>
    <t>Caqueta</t>
  </si>
  <si>
    <t>Casanare</t>
  </si>
  <si>
    <t>Cauca</t>
  </si>
  <si>
    <t>Cesar</t>
  </si>
  <si>
    <t>Choco</t>
  </si>
  <si>
    <t>Cordoba</t>
  </si>
  <si>
    <t>Guainia</t>
  </si>
  <si>
    <t>Guaviare</t>
  </si>
  <si>
    <t>Huila</t>
  </si>
  <si>
    <t>Guajira</t>
  </si>
  <si>
    <t>Magdalena</t>
  </si>
  <si>
    <t>Meta</t>
  </si>
  <si>
    <t>Putumayo</t>
  </si>
  <si>
    <t>Risaralda</t>
  </si>
  <si>
    <t>San Andres y P</t>
  </si>
  <si>
    <t>Sucre</t>
  </si>
  <si>
    <t>Vaupes</t>
  </si>
  <si>
    <t>Vichada</t>
  </si>
  <si>
    <t>AXM_PIBDEPARTAMENTALprecioscorrientes_DANE</t>
  </si>
  <si>
    <t>MED_PIBDEPARTAMENTALprecioscorrientes_DANE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</si>
</sst>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-&quot;$&quot;\ * #,##0_-;\-&quot;$&quot;\ * #,##0_-;_-&quot;$&quot;\ * &quot;-&quot;_-;_-@_-"/>
    <numFmt numFmtId="165" formatCode="_(* #,##0_);_(* \(#,##0\);_(* &quot;-&quot;??_);_(@_)"/>
    <numFmt numFmtId="166" formatCode="0.000"/>
    <numFmt numFmtId="167" formatCode="0.0000"/>
    <numFmt numFmtId="168" formatCode="_(&quot;$&quot;\ * #,##0.00_);_(&quot;$&quot;\ * \(#,##0.00\);_(&quot;$&quot;\ * &quot;-&quot;??_);_(@_)"/>
    <numFmt numFmtId="169" formatCode="#,##0.000"/>
    <numFmt numFmtId="170" formatCode="_(* #,##0.0000_);_(* \(#,##0.0000\);_(* &quot;-&quot;??_);_(@_)"/>
  </numFmts>
  <fonts count="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u/>
      <sz val="10"/>
      <color indexed="12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1">
    <xf numFmtId="0" fontId="0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>
      <alignment vertical="top"/>
      <protection locked="0"/>
    </xf>
    <xf numFmtId="164" fontId="3" fillId="0" borderId="0" applyFont="0" applyFill="0" applyBorder="0" applyAlignment="0" applyProtection="0"/>
    <xf numFmtId="0" fontId="3" fillId="0" borderId="0"/>
    <xf numFmtId="0" fontId="1" fillId="0" borderId="0">
      <alignment wrapText="1"/>
    </xf>
    <xf numFmtId="0" fontId="1" fillId="0" borderId="0">
      <alignment wrapText="1"/>
    </xf>
    <xf numFmtId="0" fontId="1" fillId="0" borderId="0">
      <alignment vertical="top"/>
    </xf>
    <xf numFmtId="168" fontId="3" fillId="0" borderId="0" applyFont="0" applyFill="0" applyBorder="0" applyAlignment="0" applyProtection="0"/>
    <xf numFmtId="164" fontId="3" fillId="0" borderId="0" applyFont="0" applyFill="0" applyBorder="0" applyAlignment="0" applyProtection="0"/>
  </cellStyleXfs>
  <cellXfs count="12">
    <xf numFmtId="0" fontId="0" fillId="0" borderId="0" xfId="0"/>
    <xf numFmtId="165" fontId="0" fillId="0" borderId="0" xfId="0" applyNumberFormat="1"/>
    <xf numFmtId="2" fontId="0" fillId="0" borderId="0" xfId="0" applyNumberFormat="1"/>
    <xf numFmtId="1" fontId="0" fillId="0" borderId="0" xfId="0" applyNumberFormat="1"/>
    <xf numFmtId="166" fontId="0" fillId="0" borderId="0" xfId="0" applyNumberFormat="1"/>
    <xf numFmtId="167" fontId="0" fillId="0" borderId="0" xfId="0" applyNumberFormat="1"/>
    <xf numFmtId="0" fontId="0" fillId="0" borderId="0" xfId="0" applyAlignment="1">
      <alignment horizontal="right" vertical="center"/>
    </xf>
    <xf numFmtId="0" fontId="0" fillId="0" borderId="0" xfId="0" applyAlignment="1">
      <alignment vertical="center"/>
    </xf>
    <xf numFmtId="0" fontId="0" fillId="0" borderId="0" xfId="0" applyAlignment="1">
      <alignment horizontal="right"/>
    </xf>
    <xf numFmtId="0" fontId="0" fillId="0" borderId="0" xfId="4" applyNumberFormat="1" applyFont="1" applyBorder="1" applyAlignment="1">
      <alignment horizontal="right" vertical="center"/>
    </xf>
    <xf numFmtId="169" fontId="0" fillId="0" borderId="0" xfId="0" applyNumberFormat="1"/>
    <xf numFmtId="170" fontId="0" fillId="0" borderId="0" xfId="0" applyNumberFormat="1"/>
  </cellXfs>
  <cellStyles count="11">
    <cellStyle name="_DESPLAZADOS-OPSR 2" xfId="8" xr:uid="{00000000-0005-0000-0000-000000000000}"/>
    <cellStyle name="Hipervínculo 2" xfId="3" xr:uid="{00000000-0005-0000-0000-000001000000}"/>
    <cellStyle name="Moneda [0]" xfId="4" builtinId="7"/>
    <cellStyle name="Moneda [0] 2" xfId="10" xr:uid="{00000000-0005-0000-0000-000003000000}"/>
    <cellStyle name="Moneda 13" xfId="9" xr:uid="{00000000-0005-0000-0000-000004000000}"/>
    <cellStyle name="Normal" xfId="0" builtinId="0"/>
    <cellStyle name="Normal 12" xfId="7" xr:uid="{00000000-0005-0000-0000-000006000000}"/>
    <cellStyle name="Normal 2" xfId="1" xr:uid="{00000000-0005-0000-0000-000007000000}"/>
    <cellStyle name="Normal 2 2" xfId="2" xr:uid="{00000000-0005-0000-0000-000008000000}"/>
    <cellStyle name="Normal 7" xfId="5" xr:uid="{00000000-0005-0000-0000-000009000000}"/>
    <cellStyle name="Normal 8" xfId="6" xr:uid="{00000000-0005-0000-0000-00000A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AEC2E-D0FC-4079-8381-B1BDD2E1CAB6}">
  <dimension ref="A1:T33"/>
  <sheetViews>
    <sheetView workbookViewId="0">
      <selection activeCell="B4" sqref="B4"/>
    </sheetView>
  </sheetViews>
  <sheetFormatPr baseColWidth="10" defaultRowHeight="14.4" x14ac:dyDescent="0.3"/>
  <sheetData>
    <row r="1" spans="1:20" x14ac:dyDescent="0.3">
      <c r="A1" t="s">
        <v>0</v>
      </c>
      <c r="B1" t="s">
        <v>2</v>
      </c>
      <c r="C1" t="s">
        <v>1</v>
      </c>
      <c r="D1" t="s">
        <v>4</v>
      </c>
      <c r="E1" t="s">
        <v>5</v>
      </c>
      <c r="F1" t="s">
        <v>6</v>
      </c>
      <c r="G1" t="s">
        <v>3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16</v>
      </c>
      <c r="N1" t="s">
        <v>17</v>
      </c>
      <c r="O1" t="s">
        <v>12</v>
      </c>
      <c r="P1" t="s">
        <v>13</v>
      </c>
      <c r="Q1" t="s">
        <v>14</v>
      </c>
      <c r="R1" t="s">
        <v>15</v>
      </c>
      <c r="S1" t="s">
        <v>18</v>
      </c>
      <c r="T1" t="s">
        <v>19</v>
      </c>
    </row>
    <row r="2" spans="1:20" x14ac:dyDescent="0.3">
      <c r="A2" t="s">
        <v>21</v>
      </c>
      <c r="B2" s="3">
        <v>63</v>
      </c>
      <c r="C2">
        <v>2018</v>
      </c>
      <c r="D2" s="2">
        <v>7927.0316490099094</v>
      </c>
      <c r="E2" s="2">
        <v>6805.5400397179965</v>
      </c>
      <c r="F2" s="11">
        <v>0.73906657370251561</v>
      </c>
      <c r="G2" s="5">
        <v>0.62259999999999993</v>
      </c>
      <c r="H2">
        <v>0.504</v>
      </c>
      <c r="I2" s="4">
        <v>0.44700000000000001</v>
      </c>
      <c r="J2" s="3">
        <v>146016675573</v>
      </c>
      <c r="K2" s="3">
        <v>157443844779.09894</v>
      </c>
      <c r="L2" s="3">
        <v>16913</v>
      </c>
      <c r="M2" s="3">
        <v>10768398250</v>
      </c>
      <c r="N2" s="3">
        <v>11611126030.2246</v>
      </c>
      <c r="O2" s="3">
        <v>539904</v>
      </c>
      <c r="P2" s="10">
        <v>11.6111260302246</v>
      </c>
      <c r="Q2" s="10">
        <v>157.44384477909892</v>
      </c>
      <c r="R2" s="3">
        <v>6805540039717.9961</v>
      </c>
      <c r="S2" s="2">
        <v>0.17061285309410559</v>
      </c>
      <c r="T2" s="11">
        <v>1.706128530941056E-3</v>
      </c>
    </row>
    <row r="3" spans="1:20" x14ac:dyDescent="0.3">
      <c r="A3" t="s">
        <v>22</v>
      </c>
      <c r="B3" s="3">
        <v>25</v>
      </c>
      <c r="C3">
        <v>2018</v>
      </c>
      <c r="D3" s="2">
        <v>59139.807247278884</v>
      </c>
      <c r="E3" s="2">
        <v>51584.572224007716</v>
      </c>
      <c r="F3" s="11">
        <v>0.77711209296979744</v>
      </c>
      <c r="G3" s="5">
        <v>0.31489999999999996</v>
      </c>
      <c r="H3">
        <v>0.504</v>
      </c>
      <c r="I3" s="4">
        <v>0.42199999999999999</v>
      </c>
      <c r="J3" s="3">
        <v>759843601754</v>
      </c>
      <c r="K3" s="3">
        <v>819308463375.73779</v>
      </c>
      <c r="L3" s="3">
        <v>83402</v>
      </c>
      <c r="M3" s="3">
        <v>57337606100</v>
      </c>
      <c r="N3" s="3">
        <v>61824809525.267586</v>
      </c>
      <c r="O3" s="3">
        <v>2919060</v>
      </c>
      <c r="P3" s="10">
        <v>61.824809525267582</v>
      </c>
      <c r="Q3" s="10">
        <v>819.3084633757378</v>
      </c>
      <c r="R3" s="3">
        <v>51584572224007.719</v>
      </c>
      <c r="S3" s="2">
        <v>0.11985135644198289</v>
      </c>
      <c r="T3" s="11">
        <v>1.1985135644198288E-3</v>
      </c>
    </row>
    <row r="4" spans="1:20" x14ac:dyDescent="0.3">
      <c r="A4" t="s">
        <v>23</v>
      </c>
      <c r="B4" s="3">
        <v>5</v>
      </c>
      <c r="C4">
        <v>2018</v>
      </c>
      <c r="D4" s="2">
        <v>141866.28536304302</v>
      </c>
      <c r="E4" s="2">
        <v>125098.43442224145</v>
      </c>
      <c r="F4" s="11">
        <v>0.76021355517533085</v>
      </c>
      <c r="G4" s="5">
        <v>0.56940000000000002</v>
      </c>
      <c r="H4">
        <v>0.504</v>
      </c>
      <c r="I4" s="4">
        <v>0.501</v>
      </c>
      <c r="J4" s="3">
        <v>1245686374085</v>
      </c>
      <c r="K4" s="3">
        <v>1343172972232.3784</v>
      </c>
      <c r="L4" s="3">
        <v>293296</v>
      </c>
      <c r="M4" s="3">
        <v>210727737550</v>
      </c>
      <c r="N4" s="3">
        <v>227219151999.42972</v>
      </c>
      <c r="O4" s="3">
        <v>6407102</v>
      </c>
      <c r="P4" s="10">
        <v>227.21915199942973</v>
      </c>
      <c r="Q4" s="10">
        <v>1343.1729722323785</v>
      </c>
      <c r="R4" s="3">
        <v>125098434422241.45</v>
      </c>
      <c r="S4" s="2">
        <v>0.18163229064282524</v>
      </c>
      <c r="T4" s="11">
        <v>1.8163229064282523E-3</v>
      </c>
    </row>
    <row r="5" spans="1:20" x14ac:dyDescent="0.3">
      <c r="A5" t="s">
        <v>24</v>
      </c>
      <c r="B5" s="3">
        <v>76</v>
      </c>
      <c r="C5">
        <v>2018</v>
      </c>
      <c r="D5" s="2">
        <v>95402.714910537296</v>
      </c>
      <c r="E5" s="2">
        <v>84055.73739461982</v>
      </c>
      <c r="F5" s="11">
        <v>0.81659116524466002</v>
      </c>
      <c r="G5" s="5">
        <v>0.43219999999999997</v>
      </c>
      <c r="H5">
        <v>0.504</v>
      </c>
      <c r="I5" s="4">
        <v>0.46800000000000003</v>
      </c>
      <c r="J5" s="3">
        <v>552914212345</v>
      </c>
      <c r="K5" s="3">
        <v>596184915750.13599</v>
      </c>
      <c r="L5" s="3">
        <v>133206</v>
      </c>
      <c r="M5" s="3">
        <v>87612846250</v>
      </c>
      <c r="N5" s="3">
        <v>94469370101.114227</v>
      </c>
      <c r="O5" s="3">
        <v>4475886</v>
      </c>
      <c r="P5" s="10">
        <v>94.469370101114222</v>
      </c>
      <c r="Q5" s="10">
        <v>596.18491575013604</v>
      </c>
      <c r="R5" s="3">
        <v>84055737394619.828</v>
      </c>
      <c r="S5" s="2">
        <v>0.11238896121701378</v>
      </c>
      <c r="T5" s="11">
        <v>1.1238896121701378E-3</v>
      </c>
    </row>
    <row r="6" spans="1:20" x14ac:dyDescent="0.3">
      <c r="A6" t="s">
        <v>25</v>
      </c>
      <c r="B6" s="3">
        <v>68</v>
      </c>
      <c r="C6">
        <v>2018</v>
      </c>
      <c r="D6" s="2">
        <v>63500.495873994834</v>
      </c>
      <c r="E6" s="2">
        <v>54989.074966344779</v>
      </c>
      <c r="F6" s="11">
        <v>0.74062913994738777</v>
      </c>
      <c r="G6" s="5">
        <v>0.64410000000000001</v>
      </c>
      <c r="H6">
        <v>0.504</v>
      </c>
      <c r="I6" s="4">
        <v>0.48599999999999999</v>
      </c>
      <c r="J6" s="3">
        <v>551772130499</v>
      </c>
      <c r="K6" s="3">
        <v>594953455328.36548</v>
      </c>
      <c r="L6" s="3">
        <v>91988</v>
      </c>
      <c r="M6" s="3">
        <v>67057665600</v>
      </c>
      <c r="N6" s="3">
        <v>72305554502.895233</v>
      </c>
      <c r="O6" s="3">
        <v>2184837</v>
      </c>
      <c r="P6" s="10">
        <v>72.305554502895234</v>
      </c>
      <c r="Q6" s="10">
        <v>594.95345532836552</v>
      </c>
      <c r="R6" s="3">
        <v>54989074966344.781</v>
      </c>
      <c r="S6" s="2">
        <v>0.13149076347828861</v>
      </c>
      <c r="T6" s="11">
        <v>1.3149076347828861E-3</v>
      </c>
    </row>
    <row r="7" spans="1:20" x14ac:dyDescent="0.3">
      <c r="A7" t="s">
        <v>26</v>
      </c>
      <c r="B7" s="3">
        <v>13</v>
      </c>
      <c r="C7">
        <v>2018</v>
      </c>
      <c r="D7" s="2">
        <v>35459.10028520145</v>
      </c>
      <c r="E7" s="2">
        <v>30800.766216494714</v>
      </c>
      <c r="F7" s="11">
        <v>0.70621570101845832</v>
      </c>
      <c r="G7" s="5">
        <v>0.36070000000000002</v>
      </c>
      <c r="H7">
        <v>0.504</v>
      </c>
      <c r="I7" s="4">
        <v>0.47199999999999998</v>
      </c>
      <c r="J7" s="3">
        <v>654567298271</v>
      </c>
      <c r="K7" s="3">
        <v>705793305470.30969</v>
      </c>
      <c r="L7" s="3">
        <v>158580</v>
      </c>
      <c r="M7" s="3">
        <v>123363310900</v>
      </c>
      <c r="N7" s="3">
        <v>133017642653.18475</v>
      </c>
      <c r="O7" s="3">
        <v>2070110</v>
      </c>
      <c r="P7" s="10">
        <v>133.01764265318477</v>
      </c>
      <c r="Q7" s="10">
        <v>705.79330547030975</v>
      </c>
      <c r="R7" s="3">
        <v>30800766216494.715</v>
      </c>
      <c r="S7" s="2">
        <v>0.43186471959242978</v>
      </c>
      <c r="T7" s="11">
        <v>4.3186471959242977E-3</v>
      </c>
    </row>
    <row r="8" spans="1:20" x14ac:dyDescent="0.3">
      <c r="A8" t="s">
        <v>27</v>
      </c>
      <c r="B8" s="3">
        <v>52</v>
      </c>
      <c r="C8">
        <v>2018</v>
      </c>
      <c r="D8" s="2">
        <v>14746.779037640599</v>
      </c>
      <c r="E8" s="2">
        <v>12613.172882041876</v>
      </c>
      <c r="F8" s="11">
        <v>0.76732799510847105</v>
      </c>
      <c r="G8" s="5">
        <v>0.2397</v>
      </c>
      <c r="H8">
        <v>0.504</v>
      </c>
      <c r="I8" s="4">
        <v>0.51200000000000001</v>
      </c>
      <c r="J8" s="3">
        <v>613403394449</v>
      </c>
      <c r="K8" s="3">
        <v>661407941549.23755</v>
      </c>
      <c r="L8" s="3">
        <v>142182</v>
      </c>
      <c r="M8" s="3">
        <v>103079077400</v>
      </c>
      <c r="N8" s="3">
        <v>111145978351.11423</v>
      </c>
      <c r="O8" s="3">
        <v>1630592</v>
      </c>
      <c r="P8" s="10">
        <v>111.14597835111422</v>
      </c>
      <c r="Q8" s="10">
        <v>661.40794154923753</v>
      </c>
      <c r="R8" s="3">
        <v>12613172882041.875</v>
      </c>
      <c r="S8" s="2">
        <v>0.88118968470938319</v>
      </c>
      <c r="T8" s="11">
        <v>8.8118968470938322E-3</v>
      </c>
    </row>
    <row r="9" spans="1:20" x14ac:dyDescent="0.3">
      <c r="A9" t="s">
        <v>28</v>
      </c>
      <c r="B9" s="3">
        <v>73</v>
      </c>
      <c r="C9">
        <v>2018</v>
      </c>
      <c r="D9" s="2">
        <v>20907.040131653175</v>
      </c>
      <c r="E9" s="2">
        <v>18135.465079754638</v>
      </c>
      <c r="F9" s="11">
        <v>0.71377710525302507</v>
      </c>
      <c r="G9" s="5">
        <v>0.38799999999999996</v>
      </c>
      <c r="H9">
        <v>0.504</v>
      </c>
      <c r="I9" s="4">
        <v>0.48199999999999998</v>
      </c>
      <c r="J9" s="3">
        <v>538930433779</v>
      </c>
      <c r="K9" s="3">
        <v>581106775850.49219</v>
      </c>
      <c r="L9" s="3">
        <v>88794</v>
      </c>
      <c r="M9" s="3">
        <v>66543183600</v>
      </c>
      <c r="N9" s="3">
        <v>71750809479.206879</v>
      </c>
      <c r="O9" s="3">
        <v>1330187</v>
      </c>
      <c r="P9" s="10">
        <v>71.750809479206879</v>
      </c>
      <c r="Q9" s="10">
        <v>581.10677585049223</v>
      </c>
      <c r="R9" s="3">
        <v>18135465079754.637</v>
      </c>
      <c r="S9" s="2">
        <v>0.39563810006342348</v>
      </c>
      <c r="T9" s="11">
        <v>3.956381000634235E-3</v>
      </c>
    </row>
    <row r="10" spans="1:20" x14ac:dyDescent="0.3">
      <c r="A10" t="s">
        <v>29</v>
      </c>
      <c r="B10" s="3">
        <v>15</v>
      </c>
      <c r="C10">
        <v>2018</v>
      </c>
      <c r="D10" s="2">
        <v>26762.191086833787</v>
      </c>
      <c r="E10" s="2">
        <v>23290.889918785335</v>
      </c>
      <c r="F10" s="11">
        <v>0.75949681184029993</v>
      </c>
      <c r="G10" s="5">
        <v>0.55409999999999993</v>
      </c>
      <c r="H10">
        <v>0.504</v>
      </c>
      <c r="I10" s="4">
        <v>0.48299999999999998</v>
      </c>
      <c r="J10" s="3">
        <v>558130498250</v>
      </c>
      <c r="K10" s="3">
        <v>601809424766.84497</v>
      </c>
      <c r="L10" s="3">
        <v>55639</v>
      </c>
      <c r="M10" s="3">
        <v>41559141300</v>
      </c>
      <c r="N10" s="3">
        <v>44811532424.723633</v>
      </c>
      <c r="O10" s="3">
        <v>1217376</v>
      </c>
      <c r="P10" s="10">
        <v>44.81153242472363</v>
      </c>
      <c r="Q10" s="10">
        <v>601.80942476684493</v>
      </c>
      <c r="R10" s="3">
        <v>23290889918785.336</v>
      </c>
      <c r="S10" s="2">
        <v>0.19239939985539478</v>
      </c>
      <c r="T10" s="11">
        <v>1.9239939985539478E-3</v>
      </c>
    </row>
    <row r="11" spans="1:20" x14ac:dyDescent="0.3">
      <c r="A11" t="s">
        <v>30</v>
      </c>
      <c r="B11" s="3">
        <v>17</v>
      </c>
      <c r="C11">
        <v>2018</v>
      </c>
      <c r="D11" s="2">
        <v>15660.756122975899</v>
      </c>
      <c r="E11" s="2">
        <v>13398.884305671812</v>
      </c>
      <c r="F11" s="11">
        <v>0.7614663534510574</v>
      </c>
      <c r="G11" s="5">
        <v>0.58090000000000008</v>
      </c>
      <c r="H11">
        <v>0.504</v>
      </c>
      <c r="I11" s="4">
        <v>0.49</v>
      </c>
      <c r="J11" s="3">
        <v>314481204934</v>
      </c>
      <c r="K11" s="3">
        <v>339092297652.11963</v>
      </c>
      <c r="L11" s="3">
        <v>38896</v>
      </c>
      <c r="M11" s="3">
        <v>26541916100</v>
      </c>
      <c r="N11" s="3">
        <v>28619069035.708015</v>
      </c>
      <c r="O11" s="3">
        <v>998255</v>
      </c>
      <c r="P11" s="10">
        <v>28.619069035708016</v>
      </c>
      <c r="Q11" s="10">
        <v>339.09229765211961</v>
      </c>
      <c r="R11" s="3">
        <v>13398884305671.813</v>
      </c>
      <c r="S11" s="2">
        <v>0.21359292596916765</v>
      </c>
      <c r="T11" s="11">
        <v>2.1359292596916765E-3</v>
      </c>
    </row>
    <row r="12" spans="1:20" x14ac:dyDescent="0.3">
      <c r="A12" t="s">
        <v>31</v>
      </c>
      <c r="B12" s="3">
        <v>8</v>
      </c>
      <c r="C12">
        <v>2018</v>
      </c>
      <c r="D12" s="2">
        <v>43426.41830134239</v>
      </c>
      <c r="E12" s="2">
        <v>37641.18766124086</v>
      </c>
      <c r="F12" s="11">
        <v>0.79855992658638675</v>
      </c>
      <c r="G12" s="5">
        <v>0.58729999999999993</v>
      </c>
      <c r="H12">
        <v>0.504</v>
      </c>
      <c r="I12" s="4">
        <v>0.443</v>
      </c>
      <c r="J12" s="3">
        <v>332288517954</v>
      </c>
      <c r="K12" s="3">
        <v>358293199302.91803</v>
      </c>
      <c r="L12" s="3">
        <v>106915</v>
      </c>
      <c r="M12" s="3">
        <v>75356298800</v>
      </c>
      <c r="N12" s="3">
        <v>81253633291.103699</v>
      </c>
      <c r="O12" s="3">
        <v>2535517</v>
      </c>
      <c r="P12" s="10">
        <v>81.253633291103696</v>
      </c>
      <c r="Q12" s="10">
        <v>358.29319930291803</v>
      </c>
      <c r="R12" s="3">
        <v>37641187661240.859</v>
      </c>
      <c r="S12" s="2">
        <v>0.21586362795552963</v>
      </c>
      <c r="T12" s="11">
        <v>2.1586362795552962E-3</v>
      </c>
    </row>
    <row r="13" spans="1:20" x14ac:dyDescent="0.3">
      <c r="A13" t="s">
        <v>32</v>
      </c>
      <c r="B13" s="3">
        <v>91</v>
      </c>
      <c r="C13">
        <v>2018</v>
      </c>
      <c r="D13" s="2">
        <v>757.41617084856591</v>
      </c>
      <c r="E13" s="2">
        <v>647.62536314381816</v>
      </c>
      <c r="F13" s="11">
        <v>0.6213955425938783</v>
      </c>
      <c r="G13" s="5">
        <v>7.6299999999999993E-2</v>
      </c>
      <c r="H13">
        <v>0.504</v>
      </c>
      <c r="J13" s="3">
        <v>79698526964</v>
      </c>
      <c r="K13" s="3">
        <v>85935681381.607285</v>
      </c>
      <c r="L13" s="3">
        <v>4820</v>
      </c>
      <c r="M13">
        <v>4621670800</v>
      </c>
      <c r="N13" s="3">
        <v>4983359723.8111944</v>
      </c>
      <c r="O13">
        <v>76589</v>
      </c>
      <c r="P13" s="10">
        <v>4.9833597238111942</v>
      </c>
      <c r="Q13" s="10">
        <v>85.935681381607282</v>
      </c>
      <c r="R13" s="3">
        <v>647625363143.81812</v>
      </c>
      <c r="S13" s="2">
        <v>0.76948186519750927</v>
      </c>
      <c r="T13" s="11">
        <v>7.6948186519750928E-3</v>
      </c>
    </row>
    <row r="14" spans="1:20" x14ac:dyDescent="0.3">
      <c r="A14" t="s">
        <v>33</v>
      </c>
      <c r="B14" s="3">
        <v>81</v>
      </c>
      <c r="C14">
        <v>2018</v>
      </c>
      <c r="D14" s="2">
        <v>5078.0303088027104</v>
      </c>
      <c r="E14" s="2">
        <v>4294.7792691892109</v>
      </c>
      <c r="F14" s="11">
        <v>0.62191823693603232</v>
      </c>
      <c r="G14" s="5">
        <v>8.77E-2</v>
      </c>
      <c r="H14">
        <v>0.504</v>
      </c>
      <c r="J14" s="3">
        <v>173978446097</v>
      </c>
      <c r="K14" s="3">
        <v>187593885114.24194</v>
      </c>
      <c r="L14" s="3">
        <v>25002</v>
      </c>
      <c r="M14">
        <v>19183174300</v>
      </c>
      <c r="N14" s="3">
        <v>20684436931.654675</v>
      </c>
      <c r="O14">
        <v>262174</v>
      </c>
      <c r="P14" s="10">
        <v>20.684436931654673</v>
      </c>
      <c r="Q14" s="10">
        <v>187.59388511424194</v>
      </c>
      <c r="R14" s="3">
        <v>4294779269189.2109</v>
      </c>
      <c r="S14" s="2">
        <v>0.48161816091562681</v>
      </c>
      <c r="T14" s="11">
        <v>4.8161816091562681E-3</v>
      </c>
    </row>
    <row r="15" spans="1:20" x14ac:dyDescent="0.3">
      <c r="A15" t="s">
        <v>34</v>
      </c>
      <c r="B15" s="3">
        <v>18</v>
      </c>
      <c r="C15">
        <v>2018</v>
      </c>
      <c r="D15" s="2">
        <v>4063.6575530670912</v>
      </c>
      <c r="E15" s="2">
        <v>3530.1036003923605</v>
      </c>
      <c r="F15" s="11">
        <v>0.74448360694968485</v>
      </c>
      <c r="G15" s="5">
        <v>0.2225</v>
      </c>
      <c r="H15">
        <v>0.504</v>
      </c>
      <c r="I15" s="4">
        <v>0.47899999999999998</v>
      </c>
      <c r="J15" s="3">
        <v>206035399560</v>
      </c>
      <c r="K15" s="3">
        <v>222159594717.70483</v>
      </c>
      <c r="L15" s="3">
        <v>43693</v>
      </c>
      <c r="M15" s="3">
        <v>34484254100</v>
      </c>
      <c r="N15" s="3">
        <v>37182969195.385155</v>
      </c>
      <c r="O15" s="3">
        <v>401849</v>
      </c>
      <c r="P15" s="10">
        <v>37.182969195385155</v>
      </c>
      <c r="Q15" s="10">
        <v>222.15959471770483</v>
      </c>
      <c r="R15" s="3">
        <v>3530103600392.3604</v>
      </c>
      <c r="S15" s="2">
        <v>1.0533109903984796</v>
      </c>
      <c r="T15" s="11">
        <v>1.0533109903984796E-2</v>
      </c>
    </row>
    <row r="16" spans="1:20" x14ac:dyDescent="0.3">
      <c r="A16" t="s">
        <v>35</v>
      </c>
      <c r="B16" s="3">
        <v>85</v>
      </c>
      <c r="C16">
        <v>2018</v>
      </c>
      <c r="D16" s="2">
        <v>15671.522976323726</v>
      </c>
      <c r="E16" s="2">
        <v>13316.363821288516</v>
      </c>
      <c r="F16" s="11">
        <v>0.73052021163275527</v>
      </c>
      <c r="G16" s="5">
        <v>0.2525</v>
      </c>
      <c r="H16">
        <v>0.504</v>
      </c>
      <c r="J16" s="3">
        <v>158730444157</v>
      </c>
      <c r="K16" s="3">
        <v>171152584549.00244</v>
      </c>
      <c r="L16">
        <v>31664</v>
      </c>
      <c r="M16">
        <v>24553479000</v>
      </c>
      <c r="N16" s="3">
        <v>26475018153.184769</v>
      </c>
      <c r="O16" s="3">
        <v>420504</v>
      </c>
      <c r="P16" s="10">
        <v>26.47501815318477</v>
      </c>
      <c r="Q16" s="10">
        <v>171.15258454900246</v>
      </c>
      <c r="R16" s="3">
        <v>13316363821288.516</v>
      </c>
      <c r="S16" s="2">
        <v>0.19881567151882606</v>
      </c>
      <c r="T16" s="11">
        <v>1.9881567151882606E-3</v>
      </c>
    </row>
    <row r="17" spans="1:20" x14ac:dyDescent="0.3">
      <c r="A17" t="s">
        <v>36</v>
      </c>
      <c r="B17" s="3">
        <v>19</v>
      </c>
      <c r="C17">
        <v>2018</v>
      </c>
      <c r="D17" s="2">
        <v>17459.0247285515</v>
      </c>
      <c r="E17" s="2">
        <v>15169.486979054776</v>
      </c>
      <c r="F17" s="11">
        <v>0.68810799408320267</v>
      </c>
      <c r="G17" s="5">
        <v>0.34749999999999998</v>
      </c>
      <c r="H17">
        <v>0.504</v>
      </c>
      <c r="I17" s="4">
        <v>0.52</v>
      </c>
      <c r="J17" s="3">
        <v>779703170765</v>
      </c>
      <c r="K17" s="3">
        <v>840722229224.58752</v>
      </c>
      <c r="L17" s="3">
        <v>127805</v>
      </c>
      <c r="M17" s="3">
        <v>97787256650</v>
      </c>
      <c r="N17" s="3">
        <v>105440023182.0056</v>
      </c>
      <c r="O17" s="3">
        <v>1464488</v>
      </c>
      <c r="P17" s="10">
        <v>105.4400231820056</v>
      </c>
      <c r="Q17" s="10">
        <v>840.72222922458752</v>
      </c>
      <c r="R17" s="3">
        <v>15169486979054.777</v>
      </c>
      <c r="S17" s="2">
        <v>0.69507969074756182</v>
      </c>
      <c r="T17" s="11">
        <v>6.9507969074756185E-3</v>
      </c>
    </row>
    <row r="18" spans="1:20" x14ac:dyDescent="0.3">
      <c r="A18" t="s">
        <v>37</v>
      </c>
      <c r="B18" s="3">
        <v>20</v>
      </c>
      <c r="C18">
        <v>2018</v>
      </c>
      <c r="D18" s="2">
        <v>21336.242899078788</v>
      </c>
      <c r="E18" s="2">
        <v>16040.681335147498</v>
      </c>
      <c r="F18" s="11">
        <v>0.71732759947805025</v>
      </c>
      <c r="G18" s="5">
        <v>0.34759999999999996</v>
      </c>
      <c r="H18">
        <v>0.504</v>
      </c>
      <c r="I18" s="4">
        <v>0.48799999999999999</v>
      </c>
      <c r="J18" s="3">
        <v>417122833049</v>
      </c>
      <c r="K18" s="3">
        <v>449766592224.26825</v>
      </c>
      <c r="L18" s="3">
        <v>98299</v>
      </c>
      <c r="M18" s="3">
        <v>81003526200</v>
      </c>
      <c r="N18" s="3">
        <v>87342809001.403748</v>
      </c>
      <c r="O18" s="3">
        <v>1200574</v>
      </c>
      <c r="P18" s="10">
        <v>87.342809001403751</v>
      </c>
      <c r="Q18" s="10">
        <v>449.76659222426827</v>
      </c>
      <c r="R18" s="3">
        <v>16040681335147.498</v>
      </c>
      <c r="S18" s="2">
        <v>0.54450809897970343</v>
      </c>
      <c r="T18" s="11">
        <v>5.445080989797034E-3</v>
      </c>
    </row>
    <row r="19" spans="1:20" x14ac:dyDescent="0.3">
      <c r="A19" t="s">
        <v>38</v>
      </c>
      <c r="B19" s="3">
        <v>27</v>
      </c>
      <c r="C19">
        <v>2018</v>
      </c>
      <c r="D19" s="2">
        <v>3776.2616257208492</v>
      </c>
      <c r="E19" s="2">
        <v>3214.849338402742</v>
      </c>
      <c r="F19" s="11">
        <v>0.59134417569304876</v>
      </c>
      <c r="G19" s="5">
        <v>0.2389</v>
      </c>
      <c r="H19">
        <v>0.504</v>
      </c>
      <c r="I19" s="4">
        <v>0.57899999999999996</v>
      </c>
      <c r="J19" s="3">
        <v>308430378660</v>
      </c>
      <c r="K19" s="3">
        <v>332567937684.80432</v>
      </c>
      <c r="L19" s="3">
        <v>43282</v>
      </c>
      <c r="M19" s="3">
        <v>35289333125</v>
      </c>
      <c r="N19" s="3">
        <v>38051053176.544128</v>
      </c>
      <c r="O19" s="3">
        <v>534826</v>
      </c>
      <c r="P19" s="10">
        <v>38.05105317654413</v>
      </c>
      <c r="Q19" s="10">
        <v>332.56793768480435</v>
      </c>
      <c r="R19" s="3">
        <v>3214849338402.7422</v>
      </c>
      <c r="S19" s="2">
        <v>1.1836029988095591</v>
      </c>
      <c r="T19" s="11">
        <v>1.1836029988095591E-2</v>
      </c>
    </row>
    <row r="20" spans="1:20" x14ac:dyDescent="0.3">
      <c r="A20" t="s">
        <v>39</v>
      </c>
      <c r="B20" s="3">
        <v>23</v>
      </c>
      <c r="C20">
        <v>2018</v>
      </c>
      <c r="D20" s="2">
        <v>16661.110714455823</v>
      </c>
      <c r="E20" s="2">
        <v>14196.124889995848</v>
      </c>
      <c r="F20" s="11">
        <v>0.74273976291659694</v>
      </c>
      <c r="G20" s="5">
        <v>0.23809999999999998</v>
      </c>
      <c r="H20">
        <v>0.504</v>
      </c>
      <c r="I20" s="4">
        <v>0.47699999999999998</v>
      </c>
      <c r="J20" s="3">
        <v>721196121998</v>
      </c>
      <c r="K20" s="3">
        <v>777636457216.65369</v>
      </c>
      <c r="L20" s="3">
        <v>178056</v>
      </c>
      <c r="M20" s="3">
        <v>138796811750</v>
      </c>
      <c r="N20" s="3">
        <v>149658959151.3862</v>
      </c>
      <c r="O20" s="3">
        <v>1784783</v>
      </c>
      <c r="P20" s="10">
        <v>149.6589591513862</v>
      </c>
      <c r="Q20" s="10">
        <v>777.63645721665364</v>
      </c>
      <c r="R20" s="3">
        <v>14196124889995.848</v>
      </c>
      <c r="S20" s="2">
        <v>1.0542240245917558</v>
      </c>
      <c r="T20" s="11">
        <v>1.0542240245917558E-2</v>
      </c>
    </row>
    <row r="21" spans="1:20" x14ac:dyDescent="0.3">
      <c r="A21" t="s">
        <v>40</v>
      </c>
      <c r="B21" s="3">
        <v>94</v>
      </c>
      <c r="C21">
        <v>2018</v>
      </c>
      <c r="D21" s="2">
        <v>365.43321138184547</v>
      </c>
      <c r="E21" s="2">
        <v>314.94749704996809</v>
      </c>
      <c r="F21" s="11">
        <v>0.66744860988182031</v>
      </c>
      <c r="G21" s="5">
        <v>9.5000000000000001E-2</v>
      </c>
      <c r="H21">
        <v>0.504</v>
      </c>
      <c r="J21" s="3">
        <v>62121524040</v>
      </c>
      <c r="K21" s="3">
        <v>66983113743.779602</v>
      </c>
      <c r="L21">
        <v>2045</v>
      </c>
      <c r="M21">
        <v>1613062950</v>
      </c>
      <c r="N21" s="3">
        <v>1739300197.8855939</v>
      </c>
      <c r="O21">
        <v>48114</v>
      </c>
      <c r="P21" s="10">
        <v>1.739300197885594</v>
      </c>
      <c r="Q21" s="10">
        <v>66.983113743779597</v>
      </c>
      <c r="R21" s="3">
        <v>314947497049.96808</v>
      </c>
      <c r="S21" s="2">
        <v>0.55225083995814228</v>
      </c>
      <c r="T21" s="11">
        <v>5.5225083995814224E-3</v>
      </c>
    </row>
    <row r="22" spans="1:20" x14ac:dyDescent="0.3">
      <c r="A22" t="s">
        <v>41</v>
      </c>
      <c r="B22" s="3">
        <v>95</v>
      </c>
      <c r="C22">
        <v>2018</v>
      </c>
      <c r="D22" s="2">
        <v>788.57670938720935</v>
      </c>
      <c r="E22" s="2">
        <v>696.05819806665909</v>
      </c>
      <c r="F22" s="11">
        <v>0.69231307914583684</v>
      </c>
      <c r="G22" s="5">
        <v>0.18079999999999999</v>
      </c>
      <c r="H22">
        <v>0.504</v>
      </c>
      <c r="J22" s="3">
        <v>73619540498</v>
      </c>
      <c r="K22" s="3">
        <v>79380957424.146332</v>
      </c>
      <c r="L22">
        <v>8147</v>
      </c>
      <c r="M22">
        <v>6117270200</v>
      </c>
      <c r="N22" s="3">
        <v>6596003751.3598871</v>
      </c>
      <c r="O22">
        <v>82767</v>
      </c>
      <c r="P22" s="10">
        <v>6.5960037513598868</v>
      </c>
      <c r="Q22" s="10">
        <v>79.380957424146331</v>
      </c>
      <c r="R22" s="3">
        <v>696058198066.65906</v>
      </c>
      <c r="S22" s="2">
        <v>0.94762245020325298</v>
      </c>
      <c r="T22" s="11">
        <v>9.4762245020325302E-3</v>
      </c>
    </row>
    <row r="23" spans="1:20" x14ac:dyDescent="0.3">
      <c r="A23" t="s">
        <v>42</v>
      </c>
      <c r="B23" s="3">
        <v>41</v>
      </c>
      <c r="C23">
        <v>2018</v>
      </c>
      <c r="D23" s="2">
        <v>16051.067351123733</v>
      </c>
      <c r="E23" s="2">
        <v>13362.277878280196</v>
      </c>
      <c r="F23" s="11">
        <v>0.72404126777208722</v>
      </c>
      <c r="G23" s="5">
        <v>0.33740000000000003</v>
      </c>
      <c r="H23">
        <v>0.504</v>
      </c>
      <c r="I23" s="4">
        <v>0.51</v>
      </c>
      <c r="J23" s="3">
        <v>404356928652</v>
      </c>
      <c r="K23" s="3">
        <v>436001636526.85382</v>
      </c>
      <c r="L23" s="3">
        <v>89137</v>
      </c>
      <c r="M23" s="3">
        <v>68226144450</v>
      </c>
      <c r="N23" s="3">
        <v>73565477740.87558</v>
      </c>
      <c r="O23" s="3">
        <v>1100386</v>
      </c>
      <c r="P23" s="10">
        <v>73.565477740875579</v>
      </c>
      <c r="Q23" s="10">
        <v>436.00163652685382</v>
      </c>
      <c r="R23" s="3">
        <v>13362277878280.195</v>
      </c>
      <c r="S23" s="2">
        <v>0.5505459354385458</v>
      </c>
      <c r="T23" s="11">
        <v>5.5054593543854584E-3</v>
      </c>
    </row>
    <row r="24" spans="1:20" x14ac:dyDescent="0.3">
      <c r="A24" t="s">
        <v>43</v>
      </c>
      <c r="B24" s="3">
        <v>44</v>
      </c>
      <c r="C24">
        <v>2018</v>
      </c>
      <c r="D24" s="2">
        <v>11856.887078341742</v>
      </c>
      <c r="E24" s="2">
        <v>8980.8359244383955</v>
      </c>
      <c r="F24" s="11">
        <v>0.63343368932812327</v>
      </c>
      <c r="G24" s="5">
        <v>0.2102</v>
      </c>
      <c r="H24">
        <v>0.504</v>
      </c>
      <c r="I24" s="4">
        <v>0.55200000000000005</v>
      </c>
      <c r="J24" s="3">
        <v>269920048198</v>
      </c>
      <c r="K24" s="3">
        <v>291043814033.46375</v>
      </c>
      <c r="L24" s="3">
        <v>58282</v>
      </c>
      <c r="M24" s="3">
        <v>48573840100</v>
      </c>
      <c r="N24" s="3">
        <v>52375196949.377075</v>
      </c>
      <c r="O24" s="3">
        <v>880560</v>
      </c>
      <c r="P24" s="10">
        <v>52.375196949377077</v>
      </c>
      <c r="Q24" s="10">
        <v>291.04381403346372</v>
      </c>
      <c r="R24" s="3">
        <v>8980835924438.3965</v>
      </c>
      <c r="S24" s="2">
        <v>0.58318844025259575</v>
      </c>
      <c r="T24" s="11">
        <v>5.8318844025259577E-3</v>
      </c>
    </row>
    <row r="25" spans="1:20" x14ac:dyDescent="0.3">
      <c r="A25" t="s">
        <v>44</v>
      </c>
      <c r="B25" s="3">
        <v>47</v>
      </c>
      <c r="C25">
        <v>2018</v>
      </c>
      <c r="D25" s="2">
        <v>13166.658122965819</v>
      </c>
      <c r="E25" s="2">
        <v>11254.976689091854</v>
      </c>
      <c r="F25" s="11">
        <v>0.70957142487023195</v>
      </c>
      <c r="G25" s="5">
        <v>0.26039999999999996</v>
      </c>
      <c r="H25">
        <v>0.504</v>
      </c>
      <c r="I25" s="4">
        <v>0.48699999999999999</v>
      </c>
      <c r="J25" s="3">
        <v>542879145001</v>
      </c>
      <c r="K25" s="3">
        <v>585364510621.36243</v>
      </c>
      <c r="L25" s="3">
        <v>120775</v>
      </c>
      <c r="M25" s="3">
        <v>99690455150</v>
      </c>
      <c r="N25" s="3">
        <v>107492164747.63115</v>
      </c>
      <c r="O25" s="3">
        <v>1341746</v>
      </c>
      <c r="P25" s="10">
        <v>107.49216474763115</v>
      </c>
      <c r="Q25" s="10">
        <v>585.36451062136246</v>
      </c>
      <c r="R25" s="3">
        <v>11254976689091.855</v>
      </c>
      <c r="S25" s="2">
        <v>0.95506341520734417</v>
      </c>
      <c r="T25" s="11">
        <v>9.5506341520734412E-3</v>
      </c>
    </row>
    <row r="26" spans="1:20" x14ac:dyDescent="0.3">
      <c r="A26" t="s">
        <v>45</v>
      </c>
      <c r="B26" s="3">
        <v>50</v>
      </c>
      <c r="C26">
        <v>2018</v>
      </c>
      <c r="D26" s="2">
        <v>35816.89814940052</v>
      </c>
      <c r="E26" s="2">
        <v>29544.536029833187</v>
      </c>
      <c r="F26" s="11">
        <v>0.78210799829170341</v>
      </c>
      <c r="G26" s="5">
        <v>0.33520000000000005</v>
      </c>
      <c r="H26">
        <v>0.504</v>
      </c>
      <c r="I26" s="4">
        <v>0.49399999999999999</v>
      </c>
      <c r="J26" s="3">
        <v>263130702195</v>
      </c>
      <c r="K26" s="3">
        <v>283723138267.81451</v>
      </c>
      <c r="L26" s="3">
        <v>60693</v>
      </c>
      <c r="M26" s="3">
        <v>43754556150</v>
      </c>
      <c r="N26" s="3">
        <v>47178759000.131599</v>
      </c>
      <c r="O26" s="3">
        <v>1039722</v>
      </c>
      <c r="P26" s="10">
        <v>47.178759000131599</v>
      </c>
      <c r="Q26" s="10">
        <v>283.72313826781453</v>
      </c>
      <c r="R26" s="3">
        <v>29544536029833.188</v>
      </c>
      <c r="S26" s="2">
        <v>0.15968691792110698</v>
      </c>
      <c r="T26" s="11">
        <v>1.5968691792110697E-3</v>
      </c>
    </row>
    <row r="27" spans="1:20" x14ac:dyDescent="0.3">
      <c r="A27" t="s">
        <v>20</v>
      </c>
      <c r="B27" s="3">
        <v>54</v>
      </c>
      <c r="C27">
        <v>2018</v>
      </c>
      <c r="D27" s="2">
        <v>15341.731184952267</v>
      </c>
      <c r="E27" s="2">
        <v>13295.349604332119</v>
      </c>
      <c r="F27" s="11">
        <v>0.76666926341711916</v>
      </c>
      <c r="G27" s="5">
        <v>0.51570000000000005</v>
      </c>
      <c r="H27">
        <v>0.504</v>
      </c>
      <c r="I27" s="4">
        <v>0.46800000000000003</v>
      </c>
      <c r="J27" s="3">
        <v>483071955388</v>
      </c>
      <c r="K27" s="3">
        <v>520876849598.04523</v>
      </c>
      <c r="L27" s="3">
        <v>93305</v>
      </c>
      <c r="M27" s="3">
        <v>67054554100</v>
      </c>
      <c r="N27" s="3">
        <v>72302199498.947174</v>
      </c>
      <c r="O27" s="3">
        <v>1491689</v>
      </c>
      <c r="P27" s="10">
        <v>72.302199498947175</v>
      </c>
      <c r="Q27" s="10">
        <v>520.87684959804528</v>
      </c>
      <c r="R27" s="3">
        <v>13295349604332.119</v>
      </c>
      <c r="S27" s="2">
        <v>0.54381570737627261</v>
      </c>
      <c r="T27" s="11">
        <v>5.4381570737627258E-3</v>
      </c>
    </row>
    <row r="28" spans="1:20" x14ac:dyDescent="0.3">
      <c r="A28" t="s">
        <v>46</v>
      </c>
      <c r="B28" s="3">
        <v>86</v>
      </c>
      <c r="C28">
        <v>2018</v>
      </c>
      <c r="D28" s="2">
        <v>4055.0357661581033</v>
      </c>
      <c r="E28" s="2">
        <v>3392.3995245596038</v>
      </c>
      <c r="F28" s="11">
        <v>0.62829434714664489</v>
      </c>
      <c r="G28" s="5">
        <v>0.1149</v>
      </c>
      <c r="H28">
        <v>0.504</v>
      </c>
      <c r="J28" s="3">
        <v>260069215101</v>
      </c>
      <c r="K28" s="3">
        <v>280422061202.95575</v>
      </c>
      <c r="L28">
        <v>36638</v>
      </c>
      <c r="M28">
        <v>29848687150</v>
      </c>
      <c r="N28" s="3">
        <v>32184625817.994381</v>
      </c>
      <c r="O28">
        <v>348182</v>
      </c>
      <c r="P28" s="10">
        <v>32.18462581799438</v>
      </c>
      <c r="Q28" s="10">
        <v>280.42206120295577</v>
      </c>
      <c r="R28" s="3">
        <v>3392399524559.604</v>
      </c>
      <c r="S28" s="2">
        <v>0.94872745928039048</v>
      </c>
      <c r="T28" s="11">
        <v>9.4872745928039053E-3</v>
      </c>
    </row>
    <row r="29" spans="1:20" x14ac:dyDescent="0.3">
      <c r="A29" t="s">
        <v>47</v>
      </c>
      <c r="B29" s="3">
        <v>66</v>
      </c>
      <c r="C29">
        <v>2018</v>
      </c>
      <c r="D29" s="2">
        <v>15800.765743030377</v>
      </c>
      <c r="E29" s="2">
        <v>13554.499403156131</v>
      </c>
      <c r="F29" s="11">
        <v>0.75194024788938774</v>
      </c>
      <c r="G29" s="5">
        <v>0.60809999999999997</v>
      </c>
      <c r="H29">
        <v>0.504</v>
      </c>
      <c r="I29" s="4">
        <v>0.439</v>
      </c>
      <c r="J29" s="3">
        <v>165227422997</v>
      </c>
      <c r="K29" s="3">
        <v>178158012689.34286</v>
      </c>
      <c r="L29">
        <v>35157</v>
      </c>
      <c r="M29" s="3">
        <v>23291106200</v>
      </c>
      <c r="N29" s="3">
        <v>25113852886.295837</v>
      </c>
      <c r="O29" s="3">
        <v>943401</v>
      </c>
      <c r="P29" s="10">
        <v>25.113852886295838</v>
      </c>
      <c r="Q29" s="10">
        <v>178.15801268934285</v>
      </c>
      <c r="R29" s="3">
        <v>13554499403156.131</v>
      </c>
      <c r="S29" s="2">
        <v>0.18528056359239753</v>
      </c>
      <c r="T29" s="11">
        <v>1.8528056359239753E-3</v>
      </c>
    </row>
    <row r="30" spans="1:20" x14ac:dyDescent="0.3">
      <c r="A30" t="s">
        <v>48</v>
      </c>
      <c r="B30" s="3">
        <v>88</v>
      </c>
      <c r="C30">
        <v>2018</v>
      </c>
      <c r="D30" s="2">
        <v>1522.2329744131325</v>
      </c>
      <c r="E30" s="2">
        <v>1370.9891110108399</v>
      </c>
      <c r="F30" s="11">
        <v>0.60855964519768646</v>
      </c>
      <c r="G30" s="5">
        <v>0.21609999999999999</v>
      </c>
      <c r="H30">
        <v>0.504</v>
      </c>
      <c r="J30" s="3">
        <v>34119149409</v>
      </c>
      <c r="K30" s="3">
        <v>36789291650.869446</v>
      </c>
      <c r="L30">
        <v>91988</v>
      </c>
      <c r="M30">
        <v>1082214300</v>
      </c>
      <c r="N30" s="3">
        <v>1166907680.9089313</v>
      </c>
      <c r="O30">
        <v>61280</v>
      </c>
      <c r="P30" s="10">
        <v>1.1669076809089312</v>
      </c>
      <c r="Q30" s="10">
        <v>36.789291650869444</v>
      </c>
      <c r="R30" s="3">
        <v>1370989111010.8398</v>
      </c>
      <c r="S30" s="2">
        <v>8.5114292413931869E-2</v>
      </c>
      <c r="T30" s="11">
        <v>8.5114292413931872E-4</v>
      </c>
    </row>
    <row r="31" spans="1:20" x14ac:dyDescent="0.3">
      <c r="A31" t="s">
        <v>49</v>
      </c>
      <c r="B31" s="3">
        <v>70</v>
      </c>
      <c r="C31">
        <v>2018</v>
      </c>
      <c r="D31" s="2">
        <v>8136.1942106956503</v>
      </c>
      <c r="E31" s="2">
        <v>7128.3116259155622</v>
      </c>
      <c r="F31" s="11">
        <v>0.74552846705953013</v>
      </c>
      <c r="G31" s="5">
        <v>0.28239999999999998</v>
      </c>
      <c r="H31">
        <v>0.504</v>
      </c>
      <c r="I31" s="4">
        <v>0.46100000000000002</v>
      </c>
      <c r="J31" s="3">
        <v>429334272302</v>
      </c>
      <c r="K31" s="3">
        <v>462933690699.38403</v>
      </c>
      <c r="L31" s="3">
        <v>89786</v>
      </c>
      <c r="M31" s="3">
        <v>74125134800</v>
      </c>
      <c r="N31" s="3">
        <v>79926119204.421814</v>
      </c>
      <c r="O31" s="3">
        <v>904863</v>
      </c>
      <c r="P31" s="10">
        <v>79.926119204421809</v>
      </c>
      <c r="Q31" s="10">
        <v>462.93369069938404</v>
      </c>
      <c r="R31" s="3">
        <v>7128311625915.5625</v>
      </c>
      <c r="S31" s="2">
        <v>1.1212489492440798</v>
      </c>
      <c r="T31" s="11">
        <v>1.1212489492440797E-2</v>
      </c>
    </row>
    <row r="32" spans="1:20" x14ac:dyDescent="0.3">
      <c r="A32" t="s">
        <v>50</v>
      </c>
      <c r="B32" s="3">
        <v>97</v>
      </c>
      <c r="C32">
        <v>2018</v>
      </c>
      <c r="D32" s="2">
        <v>282.18078485243291</v>
      </c>
      <c r="E32" s="2">
        <v>247.92835048330292</v>
      </c>
      <c r="F32" s="11">
        <v>0.65448921859456166</v>
      </c>
      <c r="G32" s="5">
        <v>3.5099999999999999E-2</v>
      </c>
      <c r="H32">
        <v>0.504</v>
      </c>
      <c r="J32">
        <v>48018958598</v>
      </c>
      <c r="K32">
        <v>51776890785.174591</v>
      </c>
      <c r="L32">
        <v>1193</v>
      </c>
      <c r="M32">
        <v>1052031400</v>
      </c>
      <c r="N32">
        <v>1134362686.962625</v>
      </c>
      <c r="O32">
        <v>40797</v>
      </c>
      <c r="P32" s="10">
        <v>1.1343626869626251</v>
      </c>
      <c r="Q32" s="10">
        <v>51.776890785174594</v>
      </c>
      <c r="R32" s="3">
        <v>247928350483.30292</v>
      </c>
      <c r="S32" s="2">
        <v>0.45753649582685396</v>
      </c>
      <c r="T32" s="11">
        <v>4.5753649582685393E-3</v>
      </c>
    </row>
    <row r="33" spans="1:20" x14ac:dyDescent="0.3">
      <c r="A33" t="s">
        <v>51</v>
      </c>
      <c r="B33" s="3">
        <v>99</v>
      </c>
      <c r="C33">
        <v>2018</v>
      </c>
      <c r="D33" s="2">
        <v>634.89220221924916</v>
      </c>
      <c r="E33" s="2">
        <v>556.27106061369818</v>
      </c>
      <c r="F33" s="11">
        <v>0.67156619239286275</v>
      </c>
      <c r="G33" s="5">
        <v>6.8600000000000008E-2</v>
      </c>
      <c r="H33">
        <v>0.504</v>
      </c>
      <c r="J33">
        <v>64969050845</v>
      </c>
      <c r="K33">
        <v>70053486127.833832</v>
      </c>
      <c r="L33">
        <v>2188</v>
      </c>
      <c r="M33">
        <v>1797249800</v>
      </c>
      <c r="N33">
        <v>1937901389.8929634</v>
      </c>
      <c r="O33">
        <v>110599</v>
      </c>
      <c r="P33" s="10">
        <v>1.9379013898929633</v>
      </c>
      <c r="Q33" s="10">
        <v>70.053486127833835</v>
      </c>
      <c r="R33" s="3">
        <v>556271060613.69824</v>
      </c>
      <c r="S33" s="2">
        <v>0.34837357667950603</v>
      </c>
      <c r="T33" s="11">
        <v>3.4837357667950601E-3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B5511-7689-4E53-A1A0-DD88D2CBBE16}">
  <dimension ref="A1:T12"/>
  <sheetViews>
    <sheetView workbookViewId="0">
      <selection activeCell="C1" sqref="C1:D12"/>
    </sheetView>
  </sheetViews>
  <sheetFormatPr baseColWidth="10" defaultRowHeight="14.4" x14ac:dyDescent="0.3"/>
  <sheetData>
    <row r="1" spans="1:20" x14ac:dyDescent="0.3">
      <c r="A1" t="s">
        <v>0</v>
      </c>
      <c r="B1" t="s">
        <v>2</v>
      </c>
      <c r="C1" t="s">
        <v>1</v>
      </c>
      <c r="D1" t="s">
        <v>4</v>
      </c>
      <c r="E1" t="s">
        <v>5</v>
      </c>
      <c r="F1" t="s">
        <v>6</v>
      </c>
      <c r="G1" t="s">
        <v>3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16</v>
      </c>
      <c r="N1" t="s">
        <v>17</v>
      </c>
      <c r="O1" t="s">
        <v>12</v>
      </c>
      <c r="P1" t="s">
        <v>13</v>
      </c>
      <c r="Q1" t="s">
        <v>14</v>
      </c>
      <c r="R1" t="s">
        <v>15</v>
      </c>
      <c r="S1" t="s">
        <v>18</v>
      </c>
      <c r="T1" t="s">
        <v>19</v>
      </c>
    </row>
    <row r="2" spans="1:20" x14ac:dyDescent="0.3">
      <c r="A2" t="s">
        <v>21</v>
      </c>
      <c r="B2" s="3">
        <v>63</v>
      </c>
      <c r="C2">
        <v>2008</v>
      </c>
      <c r="D2" s="2">
        <v>3834.1865786334902</v>
      </c>
      <c r="E2" s="2">
        <v>4986.0605578503801</v>
      </c>
      <c r="F2" s="11">
        <v>0.65280348656675824</v>
      </c>
      <c r="G2" s="5">
        <v>0.47950000000000004</v>
      </c>
      <c r="H2">
        <v>0.55500000000000005</v>
      </c>
      <c r="I2" s="4">
        <v>0.56399999999999995</v>
      </c>
      <c r="J2" s="3">
        <v>88968969361</v>
      </c>
      <c r="K2" s="3">
        <v>143815419366.92001</v>
      </c>
      <c r="L2" s="3">
        <v>15649</v>
      </c>
      <c r="M2" s="3">
        <v>8526345000</v>
      </c>
      <c r="N2" s="3">
        <v>13782556892.0163</v>
      </c>
      <c r="O2" s="3">
        <v>514725</v>
      </c>
      <c r="P2" s="10">
        <v>13.7825568920163</v>
      </c>
      <c r="Q2" s="10">
        <v>143.81541936692003</v>
      </c>
      <c r="R2" s="3">
        <v>4986060557850.3799</v>
      </c>
      <c r="S2" s="2">
        <v>0.27642177089718939</v>
      </c>
      <c r="T2" s="11">
        <v>2.764217708971894E-3</v>
      </c>
    </row>
    <row r="3" spans="1:20" x14ac:dyDescent="0.3">
      <c r="A3" t="s">
        <v>21</v>
      </c>
      <c r="B3" s="3">
        <v>63</v>
      </c>
      <c r="C3">
        <v>2009</v>
      </c>
      <c r="D3" s="2">
        <v>4018.1755604837999</v>
      </c>
      <c r="E3" s="2">
        <v>4932.9145635322111</v>
      </c>
      <c r="F3" s="11">
        <v>0.64193179159022451</v>
      </c>
      <c r="G3" s="5">
        <v>0.47100000000000003</v>
      </c>
      <c r="H3">
        <v>0.54400000000000004</v>
      </c>
      <c r="I3" s="4">
        <v>0.54500000000000004</v>
      </c>
      <c r="J3" s="3">
        <v>96579948494</v>
      </c>
      <c r="K3" s="3">
        <v>147982491832.84628</v>
      </c>
      <c r="L3" s="3">
        <v>28630</v>
      </c>
      <c r="M3" s="3">
        <v>14116300000</v>
      </c>
      <c r="N3" s="3">
        <v>21629388729.584843</v>
      </c>
      <c r="O3" s="3">
        <v>515805</v>
      </c>
      <c r="P3" s="10">
        <v>21.629388729584843</v>
      </c>
      <c r="Q3" s="10">
        <v>147.98249183284628</v>
      </c>
      <c r="R3" s="3">
        <v>4932914563532.2109</v>
      </c>
      <c r="S3" s="2">
        <v>0.43847077525902112</v>
      </c>
      <c r="T3" s="11">
        <v>4.3847077525902113E-3</v>
      </c>
    </row>
    <row r="4" spans="1:20" x14ac:dyDescent="0.3">
      <c r="A4" t="s">
        <v>21</v>
      </c>
      <c r="B4" s="3">
        <v>63</v>
      </c>
      <c r="C4">
        <v>2010</v>
      </c>
      <c r="D4" s="2">
        <v>4280.8284474079064</v>
      </c>
      <c r="E4" s="2">
        <v>5103.6259392208867</v>
      </c>
      <c r="F4" s="11">
        <v>0.78423676633699191</v>
      </c>
      <c r="G4" s="5">
        <v>0.50629999999999997</v>
      </c>
      <c r="H4">
        <v>0.54700000000000004</v>
      </c>
      <c r="I4" s="4">
        <v>0.54100000000000004</v>
      </c>
      <c r="J4" s="3">
        <v>97759727183</v>
      </c>
      <c r="K4" s="3">
        <v>142861717845.31155</v>
      </c>
      <c r="L4" s="3">
        <v>26690</v>
      </c>
      <c r="M4" s="3">
        <v>15960095000</v>
      </c>
      <c r="N4" s="3">
        <v>23323373073.721764</v>
      </c>
      <c r="O4" s="3">
        <v>517347</v>
      </c>
      <c r="P4" s="10">
        <v>23.323373073721765</v>
      </c>
      <c r="Q4" s="10">
        <v>142.86171784531155</v>
      </c>
      <c r="R4" s="3">
        <v>5103625939220.8867</v>
      </c>
      <c r="S4" s="2">
        <v>0.4569961308191462</v>
      </c>
      <c r="T4" s="11">
        <v>4.5699613081914619E-3</v>
      </c>
    </row>
    <row r="5" spans="1:20" x14ac:dyDescent="0.3">
      <c r="A5" t="s">
        <v>21</v>
      </c>
      <c r="B5" s="3">
        <v>63</v>
      </c>
      <c r="C5">
        <v>2011</v>
      </c>
      <c r="D5" s="2">
        <v>4767.0233997107553</v>
      </c>
      <c r="E5" s="2">
        <v>5456.3220833323958</v>
      </c>
      <c r="F5" s="11">
        <v>0.7450517145094534</v>
      </c>
      <c r="G5" s="5">
        <v>0.50219999999999998</v>
      </c>
      <c r="H5">
        <v>0.53500000000000003</v>
      </c>
      <c r="I5" s="4">
        <v>0.53200000000000003</v>
      </c>
      <c r="J5" s="3">
        <v>103915565878</v>
      </c>
      <c r="K5" s="3">
        <v>145342244752.54581</v>
      </c>
      <c r="L5" s="3">
        <v>24075</v>
      </c>
      <c r="M5" s="3">
        <v>12542195000</v>
      </c>
      <c r="N5" s="3">
        <v>17542230175.258904</v>
      </c>
      <c r="O5" s="3">
        <v>519089</v>
      </c>
      <c r="P5" s="10">
        <v>17.542230175258904</v>
      </c>
      <c r="Q5" s="10">
        <v>145.34224475254581</v>
      </c>
      <c r="R5" s="3">
        <v>5456322083332.3955</v>
      </c>
      <c r="S5" s="2">
        <v>0.32150283482798286</v>
      </c>
      <c r="T5" s="11">
        <v>3.2150283482798286E-3</v>
      </c>
    </row>
    <row r="6" spans="1:20" x14ac:dyDescent="0.3">
      <c r="A6" t="s">
        <v>21</v>
      </c>
      <c r="B6" s="3">
        <v>63</v>
      </c>
      <c r="C6">
        <v>2012</v>
      </c>
      <c r="D6" s="2">
        <v>5242.262342793133</v>
      </c>
      <c r="E6" s="2">
        <v>5868.6061604673114</v>
      </c>
      <c r="F6" s="11">
        <v>0.75863912364723562</v>
      </c>
      <c r="G6" s="5">
        <v>0.56100000000000005</v>
      </c>
      <c r="H6">
        <v>0.52700000000000002</v>
      </c>
      <c r="I6" s="4">
        <v>0.52500000000000002</v>
      </c>
      <c r="J6" s="3">
        <v>107682024338</v>
      </c>
      <c r="K6" s="3">
        <v>142501569841.07031</v>
      </c>
      <c r="L6" s="3">
        <v>21118</v>
      </c>
      <c r="M6" s="3">
        <v>10102490000</v>
      </c>
      <c r="N6" s="3">
        <v>13369182954.667816</v>
      </c>
      <c r="O6" s="3">
        <v>520697</v>
      </c>
      <c r="P6" s="10">
        <v>13.369182954667815</v>
      </c>
      <c r="Q6" s="10">
        <v>142.50156984107031</v>
      </c>
      <c r="R6" s="3">
        <v>5868606160467.3115</v>
      </c>
      <c r="S6" s="2">
        <v>0.22780848789490488</v>
      </c>
      <c r="T6" s="11">
        <v>2.2780848789490486E-3</v>
      </c>
    </row>
    <row r="7" spans="1:20" x14ac:dyDescent="0.3">
      <c r="A7" t="s">
        <v>21</v>
      </c>
      <c r="B7" s="3">
        <v>63</v>
      </c>
      <c r="C7">
        <v>2013</v>
      </c>
      <c r="D7" s="2">
        <v>5460.3543400731769</v>
      </c>
      <c r="E7" s="2">
        <v>5933.0255475196418</v>
      </c>
      <c r="F7" s="11">
        <v>0.7533287070028295</v>
      </c>
      <c r="G7" s="5">
        <v>0.58609999999999995</v>
      </c>
      <c r="H7">
        <v>0.52800000000000002</v>
      </c>
      <c r="I7" s="4">
        <v>0.5</v>
      </c>
      <c r="J7" s="3">
        <v>115724121056</v>
      </c>
      <c r="K7" s="3">
        <v>142224944777.82401</v>
      </c>
      <c r="L7" s="3">
        <v>22112</v>
      </c>
      <c r="M7" s="3">
        <v>12951650000</v>
      </c>
      <c r="N7" s="3">
        <v>15917577850.000002</v>
      </c>
      <c r="O7" s="3">
        <v>522157</v>
      </c>
      <c r="P7" s="10">
        <v>15.917577850000002</v>
      </c>
      <c r="Q7" s="10">
        <v>142.22494477782399</v>
      </c>
      <c r="R7" s="3">
        <v>5933025547519.6416</v>
      </c>
      <c r="S7" s="2">
        <v>0.26828770114860701</v>
      </c>
      <c r="T7" s="11">
        <v>2.6828770114860701E-3</v>
      </c>
    </row>
    <row r="8" spans="1:20" x14ac:dyDescent="0.3">
      <c r="A8" t="s">
        <v>21</v>
      </c>
      <c r="B8" s="3">
        <v>63</v>
      </c>
      <c r="C8">
        <v>2014</v>
      </c>
      <c r="D8" s="2">
        <v>5720.3525383265824</v>
      </c>
      <c r="E8" s="2">
        <v>6103.7369232083174</v>
      </c>
      <c r="F8" s="11">
        <v>0.73571117972684907</v>
      </c>
      <c r="G8" s="5">
        <v>0.54730000000000001</v>
      </c>
      <c r="H8">
        <v>0.52700000000000002</v>
      </c>
      <c r="I8" s="4">
        <v>0.497</v>
      </c>
      <c r="J8" s="3">
        <v>118574596749</v>
      </c>
      <c r="K8" s="3">
        <v>142870764122.07941</v>
      </c>
      <c r="L8" s="3">
        <v>21147</v>
      </c>
      <c r="M8" s="3">
        <v>13637767600</v>
      </c>
      <c r="N8" s="3">
        <v>16432172921.960783</v>
      </c>
      <c r="O8" s="3">
        <v>523970</v>
      </c>
      <c r="P8" s="10">
        <v>16.432172921960785</v>
      </c>
      <c r="Q8" s="10">
        <v>142.87076412207941</v>
      </c>
      <c r="R8" s="3">
        <v>6103736923208.3174</v>
      </c>
      <c r="S8" s="2">
        <v>0.26921496009240703</v>
      </c>
      <c r="T8" s="11">
        <v>2.6921496009240705E-3</v>
      </c>
    </row>
    <row r="9" spans="1:20" x14ac:dyDescent="0.3">
      <c r="A9" t="s">
        <v>21</v>
      </c>
      <c r="B9" s="3">
        <v>63</v>
      </c>
      <c r="C9">
        <v>2015</v>
      </c>
      <c r="D9" s="2">
        <v>6380.6923448656271</v>
      </c>
      <c r="E9" s="2">
        <v>6380.6923448656271</v>
      </c>
      <c r="F9" s="11">
        <v>0.73871087124562029</v>
      </c>
      <c r="G9" s="5">
        <v>0.58789999999999998</v>
      </c>
      <c r="H9">
        <v>0.51100000000000001</v>
      </c>
      <c r="I9" s="4">
        <v>0.49399999999999999</v>
      </c>
      <c r="J9" s="3">
        <v>121708878386</v>
      </c>
      <c r="K9" s="3">
        <v>142132470102.99695</v>
      </c>
      <c r="L9" s="3">
        <v>19068</v>
      </c>
      <c r="M9" s="3">
        <v>12881020900</v>
      </c>
      <c r="N9" s="3">
        <v>15042545311.763588</v>
      </c>
      <c r="O9" s="3">
        <v>526484</v>
      </c>
      <c r="P9" s="10">
        <v>15.042545311763588</v>
      </c>
      <c r="Q9" s="10">
        <v>142.13247010299696</v>
      </c>
      <c r="R9" s="3">
        <v>6380692344865.627</v>
      </c>
      <c r="S9" s="2">
        <v>0.23575098905791819</v>
      </c>
      <c r="T9" s="11">
        <v>2.3575098905791818E-3</v>
      </c>
    </row>
    <row r="10" spans="1:20" x14ac:dyDescent="0.3">
      <c r="A10" t="s">
        <v>21</v>
      </c>
      <c r="B10" s="3">
        <v>63</v>
      </c>
      <c r="C10">
        <v>2016</v>
      </c>
      <c r="D10" s="2">
        <v>7133.1323777393454</v>
      </c>
      <c r="E10" s="2">
        <v>6624.063695955645</v>
      </c>
      <c r="F10" s="11">
        <v>0.73950000000000005</v>
      </c>
      <c r="G10" s="5">
        <v>0.61729999999999996</v>
      </c>
      <c r="H10">
        <v>0.50800000000000001</v>
      </c>
      <c r="I10" s="4">
        <v>0.46800000000000003</v>
      </c>
      <c r="J10" s="3">
        <v>134552043661</v>
      </c>
      <c r="K10" s="3">
        <v>151488147361.09293</v>
      </c>
      <c r="L10" s="3">
        <v>18433</v>
      </c>
      <c r="M10" s="3">
        <v>12953712600</v>
      </c>
      <c r="N10" s="3">
        <v>14584200059.912058</v>
      </c>
      <c r="O10" s="3">
        <v>529891</v>
      </c>
      <c r="P10" s="10">
        <v>14.584200059912058</v>
      </c>
      <c r="Q10" s="10">
        <v>151.48814736109293</v>
      </c>
      <c r="R10" s="3">
        <v>6624063695955.6445</v>
      </c>
      <c r="S10" s="2">
        <v>0.22016998521340478</v>
      </c>
      <c r="T10" s="11">
        <v>2.2016998521340479E-3</v>
      </c>
    </row>
    <row r="11" spans="1:20" x14ac:dyDescent="0.3">
      <c r="A11" t="s">
        <v>21</v>
      </c>
      <c r="B11" s="3">
        <v>63</v>
      </c>
      <c r="C11">
        <v>2017</v>
      </c>
      <c r="D11" s="2">
        <v>7633.4520249197703</v>
      </c>
      <c r="E11" s="2">
        <v>6735.936197253357</v>
      </c>
      <c r="F11" s="11">
        <v>0.74677700196762231</v>
      </c>
      <c r="G11" s="5">
        <v>0.56889999999999996</v>
      </c>
      <c r="H11">
        <v>0.49700000000000005</v>
      </c>
      <c r="I11" s="4">
        <v>0.45300000000000001</v>
      </c>
      <c r="J11" s="3">
        <v>144263724097</v>
      </c>
      <c r="K11" s="3">
        <v>158558501981.05261</v>
      </c>
      <c r="L11" s="3">
        <v>18201</v>
      </c>
      <c r="M11" s="3">
        <v>11947256250</v>
      </c>
      <c r="N11" s="3">
        <v>13131083823.332142</v>
      </c>
      <c r="O11" s="3">
        <v>533966</v>
      </c>
      <c r="P11" s="10">
        <v>13.131083823332142</v>
      </c>
      <c r="Q11" s="10">
        <v>158.55850198105261</v>
      </c>
      <c r="R11" s="3">
        <v>6735936197253.3574</v>
      </c>
      <c r="S11" s="2">
        <v>0.19494073932420064</v>
      </c>
      <c r="T11" s="11">
        <v>1.9494073932420065E-3</v>
      </c>
    </row>
    <row r="12" spans="1:20" x14ac:dyDescent="0.3">
      <c r="A12" t="s">
        <v>21</v>
      </c>
      <c r="B12" s="3">
        <v>63</v>
      </c>
      <c r="C12">
        <v>2018</v>
      </c>
      <c r="D12" s="2">
        <v>7927.0316490099094</v>
      </c>
      <c r="E12" s="2">
        <v>6805.5400397179965</v>
      </c>
      <c r="F12" s="11">
        <v>0.73906657370251561</v>
      </c>
      <c r="G12" s="5">
        <v>0.62259999999999993</v>
      </c>
      <c r="H12">
        <v>0.504</v>
      </c>
      <c r="I12" s="4">
        <v>0.44700000000000001</v>
      </c>
      <c r="J12" s="3">
        <v>146016675573</v>
      </c>
      <c r="K12" s="3">
        <v>157443844779.09894</v>
      </c>
      <c r="L12" s="3">
        <v>16913</v>
      </c>
      <c r="M12" s="3">
        <v>10768398250</v>
      </c>
      <c r="N12" s="3">
        <v>11611126030.2246</v>
      </c>
      <c r="O12" s="3">
        <v>539904</v>
      </c>
      <c r="P12" s="10">
        <v>11.6111260302246</v>
      </c>
      <c r="Q12" s="10">
        <v>157.44384477909892</v>
      </c>
      <c r="R12" s="3">
        <v>6805540039717.9961</v>
      </c>
      <c r="S12" s="2">
        <v>0.17061285309410559</v>
      </c>
      <c r="T12" s="11">
        <v>1.706128530941056E-3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53"/>
  <sheetViews>
    <sheetView tabSelected="1" workbookViewId="0">
      <selection activeCell="E8" sqref="E8"/>
    </sheetView>
  </sheetViews>
  <sheetFormatPr baseColWidth="10" defaultRowHeight="14.4" x14ac:dyDescent="0.3"/>
  <cols>
    <col min="1" max="1" width="13" customWidth="1"/>
    <col min="2" max="2" width="3.109375" customWidth="1"/>
    <col min="3" max="3" width="5.109375" customWidth="1"/>
    <col min="4" max="4" width="19" customWidth="1"/>
    <col min="5" max="5" width="21.44140625" customWidth="1"/>
    <col min="6" max="6" width="13.88671875" customWidth="1"/>
    <col min="7" max="7" width="7" customWidth="1"/>
    <col min="8" max="8" width="7.33203125" customWidth="1"/>
    <col min="9" max="9" width="14.44140625" customWidth="1"/>
    <col min="10" max="10" width="17" customWidth="1"/>
    <col min="11" max="11" width="18.33203125" customWidth="1"/>
    <col min="12" max="12" width="10.5546875" customWidth="1"/>
    <col min="13" max="13" width="18" customWidth="1"/>
    <col min="14" max="14" width="24.109375" customWidth="1"/>
    <col min="15" max="15" width="12" bestFit="1" customWidth="1"/>
    <col min="16" max="16" width="13.6640625" bestFit="1" customWidth="1"/>
    <col min="17" max="17" width="12" bestFit="1" customWidth="1"/>
    <col min="18" max="18" width="25.88671875" customWidth="1"/>
    <col min="19" max="20" width="22.88671875" bestFit="1" customWidth="1"/>
  </cols>
  <sheetData>
    <row r="1" spans="1:20" x14ac:dyDescent="0.3">
      <c r="A1" s="8" t="s">
        <v>0</v>
      </c>
      <c r="B1" s="8" t="s">
        <v>2</v>
      </c>
      <c r="C1" s="8" t="s">
        <v>1</v>
      </c>
      <c r="D1" s="8" t="s">
        <v>4</v>
      </c>
      <c r="E1" s="8" t="s">
        <v>5</v>
      </c>
      <c r="F1" s="8" t="s">
        <v>6</v>
      </c>
      <c r="G1" s="8" t="s">
        <v>3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16</v>
      </c>
      <c r="N1" s="8" t="s">
        <v>17</v>
      </c>
      <c r="O1" s="8" t="s">
        <v>12</v>
      </c>
      <c r="P1" s="8" t="s">
        <v>13</v>
      </c>
      <c r="Q1" s="8" t="s">
        <v>14</v>
      </c>
      <c r="R1" s="8" t="s">
        <v>15</v>
      </c>
      <c r="S1" s="8" t="s">
        <v>18</v>
      </c>
      <c r="T1" s="8" t="s">
        <v>19</v>
      </c>
    </row>
    <row r="2" spans="1:20" x14ac:dyDescent="0.3">
      <c r="A2" t="s">
        <v>21</v>
      </c>
      <c r="B2" s="3">
        <v>63</v>
      </c>
      <c r="C2">
        <v>2008</v>
      </c>
      <c r="D2" s="2">
        <v>3834.1865786334902</v>
      </c>
      <c r="E2" s="2">
        <v>4986.0605578503801</v>
      </c>
      <c r="F2" s="11">
        <v>0.65280348656675824</v>
      </c>
      <c r="G2" s="5">
        <v>0.47950000000000004</v>
      </c>
      <c r="H2">
        <v>0.55500000000000005</v>
      </c>
      <c r="I2" s="4">
        <v>0.56399999999999995</v>
      </c>
      <c r="J2" s="3">
        <v>88968969361</v>
      </c>
      <c r="K2" s="3">
        <v>143815419366.92001</v>
      </c>
      <c r="L2" s="3">
        <v>15649</v>
      </c>
      <c r="M2" s="3">
        <v>8526345000</v>
      </c>
      <c r="N2" s="3">
        <v>13782556892.0163</v>
      </c>
      <c r="O2" s="3">
        <v>514725</v>
      </c>
      <c r="P2" s="10">
        <v>13.7825568920163</v>
      </c>
      <c r="Q2" s="10">
        <v>143.81541936692003</v>
      </c>
      <c r="R2" s="3">
        <f>E2*1000000000</f>
        <v>4986060557850.3799</v>
      </c>
      <c r="S2" s="2">
        <f>(N2/R2)*100</f>
        <v>0.27642177089718939</v>
      </c>
      <c r="T2" s="11">
        <f>S2/100</f>
        <v>2.764217708971894E-3</v>
      </c>
    </row>
    <row r="3" spans="1:20" x14ac:dyDescent="0.3">
      <c r="A3" t="s">
        <v>21</v>
      </c>
      <c r="B3" s="3">
        <v>63</v>
      </c>
      <c r="C3">
        <v>2009</v>
      </c>
      <c r="D3" s="2">
        <v>4018.1755604837999</v>
      </c>
      <c r="E3" s="2">
        <v>4932.9145635322111</v>
      </c>
      <c r="F3" s="11">
        <v>0.64193179159022451</v>
      </c>
      <c r="G3" s="5">
        <v>0.47100000000000003</v>
      </c>
      <c r="H3">
        <v>0.54400000000000004</v>
      </c>
      <c r="I3" s="4">
        <v>0.54500000000000004</v>
      </c>
      <c r="J3" s="3">
        <v>96579948494</v>
      </c>
      <c r="K3" s="3">
        <v>147982491832.84628</v>
      </c>
      <c r="L3" s="3">
        <v>28630</v>
      </c>
      <c r="M3" s="3">
        <v>14116300000</v>
      </c>
      <c r="N3" s="3">
        <v>21629388729.584843</v>
      </c>
      <c r="O3" s="3">
        <v>515805</v>
      </c>
      <c r="P3" s="10">
        <v>21.629388729584843</v>
      </c>
      <c r="Q3" s="10">
        <v>147.98249183284628</v>
      </c>
      <c r="R3" s="3">
        <f t="shared" ref="R3:R66" si="0">E3*1000000000</f>
        <v>4932914563532.2109</v>
      </c>
      <c r="S3" s="2">
        <f t="shared" ref="S3:S66" si="1">(N3/R3)*100</f>
        <v>0.43847077525902112</v>
      </c>
      <c r="T3" s="11">
        <f t="shared" ref="T3:T66" si="2">S3/100</f>
        <v>4.3847077525902113E-3</v>
      </c>
    </row>
    <row r="4" spans="1:20" x14ac:dyDescent="0.3">
      <c r="A4" t="s">
        <v>21</v>
      </c>
      <c r="B4" s="3">
        <v>63</v>
      </c>
      <c r="C4">
        <v>2010</v>
      </c>
      <c r="D4" s="2">
        <v>4280.8284474079064</v>
      </c>
      <c r="E4" s="2">
        <v>5103.6259392208867</v>
      </c>
      <c r="F4" s="11">
        <v>0.78423676633699191</v>
      </c>
      <c r="G4" s="5">
        <v>0.50629999999999997</v>
      </c>
      <c r="H4">
        <v>0.54700000000000004</v>
      </c>
      <c r="I4" s="4">
        <v>0.54100000000000004</v>
      </c>
      <c r="J4" s="3">
        <v>97759727183</v>
      </c>
      <c r="K4" s="3">
        <v>142861717845.31155</v>
      </c>
      <c r="L4" s="3">
        <v>26690</v>
      </c>
      <c r="M4" s="3">
        <v>15960095000</v>
      </c>
      <c r="N4" s="3">
        <v>23323373073.721764</v>
      </c>
      <c r="O4" s="3">
        <v>517347</v>
      </c>
      <c r="P4" s="10">
        <v>23.323373073721765</v>
      </c>
      <c r="Q4" s="10">
        <v>142.86171784531155</v>
      </c>
      <c r="R4" s="3">
        <f t="shared" si="0"/>
        <v>5103625939220.8867</v>
      </c>
      <c r="S4" s="2">
        <f t="shared" si="1"/>
        <v>0.4569961308191462</v>
      </c>
      <c r="T4" s="11">
        <f t="shared" si="2"/>
        <v>4.5699613081914619E-3</v>
      </c>
    </row>
    <row r="5" spans="1:20" x14ac:dyDescent="0.3">
      <c r="A5" t="s">
        <v>21</v>
      </c>
      <c r="B5" s="3">
        <v>63</v>
      </c>
      <c r="C5">
        <v>2011</v>
      </c>
      <c r="D5" s="2">
        <v>4767.0233997107553</v>
      </c>
      <c r="E5" s="2">
        <v>5456.3220833323958</v>
      </c>
      <c r="F5" s="11">
        <v>0.7450517145094534</v>
      </c>
      <c r="G5" s="5">
        <v>0.50219999999999998</v>
      </c>
      <c r="H5">
        <v>0.53500000000000003</v>
      </c>
      <c r="I5" s="4">
        <v>0.53200000000000003</v>
      </c>
      <c r="J5" s="3">
        <v>103915565878</v>
      </c>
      <c r="K5" s="3">
        <v>145342244752.54581</v>
      </c>
      <c r="L5" s="3">
        <v>24075</v>
      </c>
      <c r="M5" s="3">
        <v>12542195000</v>
      </c>
      <c r="N5" s="3">
        <v>17542230175.258904</v>
      </c>
      <c r="O5" s="3">
        <v>519089</v>
      </c>
      <c r="P5" s="10">
        <v>17.542230175258904</v>
      </c>
      <c r="Q5" s="10">
        <v>145.34224475254581</v>
      </c>
      <c r="R5" s="3">
        <f t="shared" si="0"/>
        <v>5456322083332.3955</v>
      </c>
      <c r="S5" s="2">
        <f t="shared" si="1"/>
        <v>0.32150283482798286</v>
      </c>
      <c r="T5" s="11">
        <f t="shared" si="2"/>
        <v>3.2150283482798286E-3</v>
      </c>
    </row>
    <row r="6" spans="1:20" x14ac:dyDescent="0.3">
      <c r="A6" t="s">
        <v>21</v>
      </c>
      <c r="B6" s="3">
        <v>63</v>
      </c>
      <c r="C6">
        <v>2012</v>
      </c>
      <c r="D6" s="2">
        <v>5242.262342793133</v>
      </c>
      <c r="E6" s="2">
        <v>5868.6061604673114</v>
      </c>
      <c r="F6" s="11">
        <v>0.75863912364723562</v>
      </c>
      <c r="G6" s="5">
        <v>0.56100000000000005</v>
      </c>
      <c r="H6">
        <v>0.52700000000000002</v>
      </c>
      <c r="I6" s="4">
        <v>0.52500000000000002</v>
      </c>
      <c r="J6" s="3">
        <v>107682024338</v>
      </c>
      <c r="K6" s="3">
        <v>142501569841.07031</v>
      </c>
      <c r="L6" s="3">
        <v>21118</v>
      </c>
      <c r="M6" s="3">
        <v>10102490000</v>
      </c>
      <c r="N6" s="3">
        <v>13369182954.667816</v>
      </c>
      <c r="O6" s="3">
        <v>520697</v>
      </c>
      <c r="P6" s="10">
        <v>13.369182954667815</v>
      </c>
      <c r="Q6" s="10">
        <v>142.50156984107031</v>
      </c>
      <c r="R6" s="3">
        <f t="shared" si="0"/>
        <v>5868606160467.3115</v>
      </c>
      <c r="S6" s="2">
        <f t="shared" si="1"/>
        <v>0.22780848789490488</v>
      </c>
      <c r="T6" s="11">
        <f t="shared" si="2"/>
        <v>2.2780848789490486E-3</v>
      </c>
    </row>
    <row r="7" spans="1:20" x14ac:dyDescent="0.3">
      <c r="A7" t="s">
        <v>21</v>
      </c>
      <c r="B7" s="3">
        <v>63</v>
      </c>
      <c r="C7">
        <v>2013</v>
      </c>
      <c r="D7" s="2">
        <v>5460.3543400731769</v>
      </c>
      <c r="E7" s="2">
        <v>5933.0255475196418</v>
      </c>
      <c r="F7" s="11">
        <v>0.7533287070028295</v>
      </c>
      <c r="G7" s="5">
        <v>0.58609999999999995</v>
      </c>
      <c r="H7">
        <v>0.52800000000000002</v>
      </c>
      <c r="I7" s="4">
        <v>0.5</v>
      </c>
      <c r="J7" s="3">
        <v>115724121056</v>
      </c>
      <c r="K7" s="3">
        <v>142224944777.82401</v>
      </c>
      <c r="L7" s="3">
        <v>22112</v>
      </c>
      <c r="M7" s="3">
        <v>12951650000</v>
      </c>
      <c r="N7" s="3">
        <v>15917577850.000002</v>
      </c>
      <c r="O7" s="3">
        <v>522157</v>
      </c>
      <c r="P7" s="10">
        <v>15.917577850000002</v>
      </c>
      <c r="Q7" s="10">
        <v>142.22494477782399</v>
      </c>
      <c r="R7" s="3">
        <f t="shared" si="0"/>
        <v>5933025547519.6416</v>
      </c>
      <c r="S7" s="2">
        <f t="shared" si="1"/>
        <v>0.26828770114860701</v>
      </c>
      <c r="T7" s="11">
        <f t="shared" si="2"/>
        <v>2.6828770114860701E-3</v>
      </c>
    </row>
    <row r="8" spans="1:20" x14ac:dyDescent="0.3">
      <c r="A8" t="s">
        <v>21</v>
      </c>
      <c r="B8" s="3">
        <v>63</v>
      </c>
      <c r="C8">
        <v>2014</v>
      </c>
      <c r="D8" s="2">
        <v>5720.3525383265824</v>
      </c>
      <c r="E8" s="2">
        <v>6103.7369232083174</v>
      </c>
      <c r="F8" s="11">
        <v>0.73571117972684907</v>
      </c>
      <c r="G8" s="5">
        <v>0.54730000000000001</v>
      </c>
      <c r="H8">
        <v>0.52700000000000002</v>
      </c>
      <c r="I8" s="4">
        <v>0.497</v>
      </c>
      <c r="J8" s="3">
        <v>118574596749</v>
      </c>
      <c r="K8" s="3">
        <v>142870764122.07941</v>
      </c>
      <c r="L8" s="3">
        <v>21147</v>
      </c>
      <c r="M8" s="3">
        <v>13637767600</v>
      </c>
      <c r="N8" s="3">
        <v>16432172921.960783</v>
      </c>
      <c r="O8" s="3">
        <v>523970</v>
      </c>
      <c r="P8" s="10">
        <v>16.432172921960785</v>
      </c>
      <c r="Q8" s="10">
        <v>142.87076412207941</v>
      </c>
      <c r="R8" s="3">
        <f t="shared" si="0"/>
        <v>6103736923208.3174</v>
      </c>
      <c r="S8" s="2">
        <f t="shared" si="1"/>
        <v>0.26921496009240703</v>
      </c>
      <c r="T8" s="11">
        <f t="shared" si="2"/>
        <v>2.6921496009240705E-3</v>
      </c>
    </row>
    <row r="9" spans="1:20" x14ac:dyDescent="0.3">
      <c r="A9" t="s">
        <v>21</v>
      </c>
      <c r="B9" s="3">
        <v>63</v>
      </c>
      <c r="C9">
        <v>2015</v>
      </c>
      <c r="D9" s="2">
        <v>6380.6923448656271</v>
      </c>
      <c r="E9" s="2">
        <v>6380.6923448656271</v>
      </c>
      <c r="F9" s="11">
        <v>0.73871087124562029</v>
      </c>
      <c r="G9" s="5">
        <v>0.58789999999999998</v>
      </c>
      <c r="H9">
        <v>0.51100000000000001</v>
      </c>
      <c r="I9" s="4">
        <v>0.49399999999999999</v>
      </c>
      <c r="J9" s="3">
        <v>121708878386</v>
      </c>
      <c r="K9" s="3">
        <v>142132470102.99695</v>
      </c>
      <c r="L9" s="3">
        <v>19068</v>
      </c>
      <c r="M9" s="3">
        <v>12881020900</v>
      </c>
      <c r="N9" s="3">
        <v>15042545311.763588</v>
      </c>
      <c r="O9" s="3">
        <v>526484</v>
      </c>
      <c r="P9" s="10">
        <v>15.042545311763588</v>
      </c>
      <c r="Q9" s="10">
        <v>142.13247010299696</v>
      </c>
      <c r="R9" s="3">
        <f t="shared" si="0"/>
        <v>6380692344865.627</v>
      </c>
      <c r="S9" s="2">
        <f t="shared" si="1"/>
        <v>0.23575098905791819</v>
      </c>
      <c r="T9" s="11">
        <f t="shared" si="2"/>
        <v>2.3575098905791818E-3</v>
      </c>
    </row>
    <row r="10" spans="1:20" x14ac:dyDescent="0.3">
      <c r="A10" t="s">
        <v>21</v>
      </c>
      <c r="B10" s="3">
        <v>63</v>
      </c>
      <c r="C10">
        <v>2016</v>
      </c>
      <c r="D10" s="2">
        <v>7133.1323777393454</v>
      </c>
      <c r="E10" s="2">
        <v>6624.063695955645</v>
      </c>
      <c r="F10" s="11">
        <v>0.73950000000000005</v>
      </c>
      <c r="G10" s="5">
        <v>0.61729999999999996</v>
      </c>
      <c r="H10">
        <v>0.50800000000000001</v>
      </c>
      <c r="I10" s="4">
        <v>0.46800000000000003</v>
      </c>
      <c r="J10" s="3">
        <v>134552043661</v>
      </c>
      <c r="K10" s="3">
        <v>151488147361.09293</v>
      </c>
      <c r="L10" s="3">
        <v>18433</v>
      </c>
      <c r="M10" s="3">
        <v>12953712600</v>
      </c>
      <c r="N10" s="3">
        <v>14584200059.912058</v>
      </c>
      <c r="O10" s="3">
        <v>529891</v>
      </c>
      <c r="P10" s="10">
        <v>14.584200059912058</v>
      </c>
      <c r="Q10" s="10">
        <v>151.48814736109293</v>
      </c>
      <c r="R10" s="3">
        <f t="shared" si="0"/>
        <v>6624063695955.6445</v>
      </c>
      <c r="S10" s="2">
        <f t="shared" si="1"/>
        <v>0.22016998521340478</v>
      </c>
      <c r="T10" s="11">
        <f t="shared" si="2"/>
        <v>2.2016998521340479E-3</v>
      </c>
    </row>
    <row r="11" spans="1:20" x14ac:dyDescent="0.3">
      <c r="A11" t="s">
        <v>21</v>
      </c>
      <c r="B11" s="3">
        <v>63</v>
      </c>
      <c r="C11">
        <v>2017</v>
      </c>
      <c r="D11" s="2">
        <v>7633.4520249197703</v>
      </c>
      <c r="E11" s="2">
        <v>6735.936197253357</v>
      </c>
      <c r="F11" s="11">
        <v>0.74677700196762231</v>
      </c>
      <c r="G11" s="5">
        <v>0.56889999999999996</v>
      </c>
      <c r="H11">
        <v>0.49700000000000005</v>
      </c>
      <c r="I11" s="4">
        <v>0.45300000000000001</v>
      </c>
      <c r="J11" s="3">
        <v>144263724097</v>
      </c>
      <c r="K11" s="3">
        <v>158558501981.05261</v>
      </c>
      <c r="L11" s="3">
        <v>18201</v>
      </c>
      <c r="M11" s="3">
        <v>11947256250</v>
      </c>
      <c r="N11" s="3">
        <v>13131083823.332142</v>
      </c>
      <c r="O11" s="3">
        <v>533966</v>
      </c>
      <c r="P11" s="10">
        <v>13.131083823332142</v>
      </c>
      <c r="Q11" s="10">
        <v>158.55850198105261</v>
      </c>
      <c r="R11" s="3">
        <f t="shared" si="0"/>
        <v>6735936197253.3574</v>
      </c>
      <c r="S11" s="2">
        <f t="shared" si="1"/>
        <v>0.19494073932420064</v>
      </c>
      <c r="T11" s="11">
        <f t="shared" si="2"/>
        <v>1.9494073932420065E-3</v>
      </c>
    </row>
    <row r="12" spans="1:20" x14ac:dyDescent="0.3">
      <c r="A12" t="s">
        <v>21</v>
      </c>
      <c r="B12" s="3">
        <v>63</v>
      </c>
      <c r="C12">
        <v>2018</v>
      </c>
      <c r="D12" s="2">
        <v>7927.0316490099094</v>
      </c>
      <c r="E12" s="2">
        <v>6805.5400397179965</v>
      </c>
      <c r="F12" s="11">
        <v>0.73906657370251561</v>
      </c>
      <c r="G12" s="5">
        <v>0.62259999999999993</v>
      </c>
      <c r="H12">
        <v>0.504</v>
      </c>
      <c r="I12" s="4">
        <v>0.44700000000000001</v>
      </c>
      <c r="J12" s="3">
        <v>146016675573</v>
      </c>
      <c r="K12" s="3">
        <v>157443844779.09894</v>
      </c>
      <c r="L12" s="3">
        <v>16913</v>
      </c>
      <c r="M12" s="3">
        <v>10768398250</v>
      </c>
      <c r="N12" s="3">
        <v>11611126030.2246</v>
      </c>
      <c r="O12" s="3">
        <v>539904</v>
      </c>
      <c r="P12" s="10">
        <v>11.6111260302246</v>
      </c>
      <c r="Q12" s="10">
        <v>157.44384477909892</v>
      </c>
      <c r="R12" s="3">
        <f t="shared" si="0"/>
        <v>6805540039717.9961</v>
      </c>
      <c r="S12" s="2">
        <f t="shared" si="1"/>
        <v>0.17061285309410559</v>
      </c>
      <c r="T12" s="11">
        <f t="shared" si="2"/>
        <v>1.706128530941056E-3</v>
      </c>
    </row>
    <row r="13" spans="1:20" x14ac:dyDescent="0.3">
      <c r="A13" t="s">
        <v>22</v>
      </c>
      <c r="B13" s="3">
        <v>25</v>
      </c>
      <c r="C13">
        <v>2008</v>
      </c>
      <c r="D13" s="2">
        <v>27379.264923667248</v>
      </c>
      <c r="E13" s="2">
        <v>36147.410281913981</v>
      </c>
      <c r="F13" s="11">
        <v>0.65691964528445912</v>
      </c>
      <c r="G13" s="5">
        <v>0.19149999999999998</v>
      </c>
      <c r="H13">
        <v>0.55500000000000005</v>
      </c>
      <c r="I13" s="4">
        <v>0.46400000000000002</v>
      </c>
      <c r="J13" s="3">
        <v>520335288532</v>
      </c>
      <c r="K13" s="3">
        <v>841104918592.43445</v>
      </c>
      <c r="L13" s="3">
        <v>69281</v>
      </c>
      <c r="M13" s="3">
        <v>41428215000</v>
      </c>
      <c r="N13" s="3">
        <v>66967350039.458107</v>
      </c>
      <c r="O13" s="3">
        <v>2021042</v>
      </c>
      <c r="P13" s="10">
        <v>66.967350039458111</v>
      </c>
      <c r="Q13" s="10">
        <v>841.1049185924345</v>
      </c>
      <c r="R13" s="3">
        <f t="shared" si="0"/>
        <v>36147410281913.984</v>
      </c>
      <c r="S13" s="2">
        <f t="shared" si="1"/>
        <v>0.18526181963570593</v>
      </c>
      <c r="T13" s="11">
        <f t="shared" si="2"/>
        <v>1.8526181963570592E-3</v>
      </c>
    </row>
    <row r="14" spans="1:20" x14ac:dyDescent="0.3">
      <c r="A14" t="s">
        <v>22</v>
      </c>
      <c r="B14" s="3">
        <v>25</v>
      </c>
      <c r="C14">
        <v>2009</v>
      </c>
      <c r="D14" s="2">
        <v>29326.806444094356</v>
      </c>
      <c r="E14" s="2">
        <v>36255.884716107372</v>
      </c>
      <c r="F14" s="11">
        <v>0.59425254022054919</v>
      </c>
      <c r="G14" s="5">
        <v>0.1978</v>
      </c>
      <c r="H14">
        <v>0.54400000000000004</v>
      </c>
      <c r="I14" s="4">
        <v>0.45800000000000002</v>
      </c>
      <c r="J14" s="3">
        <v>545752537810</v>
      </c>
      <c r="K14" s="3">
        <v>836217265887.65747</v>
      </c>
      <c r="L14" s="3">
        <v>107733</v>
      </c>
      <c r="M14" s="3">
        <v>59730831000</v>
      </c>
      <c r="N14" s="3">
        <v>91521245853.384872</v>
      </c>
      <c r="O14" s="3">
        <v>2074250</v>
      </c>
      <c r="P14" s="10">
        <v>91.521245853384869</v>
      </c>
      <c r="Q14" s="10">
        <v>836.2172658876575</v>
      </c>
      <c r="R14" s="3">
        <f t="shared" si="0"/>
        <v>36255884716107.375</v>
      </c>
      <c r="S14" s="2">
        <f t="shared" si="1"/>
        <v>0.25243142339517866</v>
      </c>
      <c r="T14" s="11">
        <f t="shared" si="2"/>
        <v>2.5243142339517865E-3</v>
      </c>
    </row>
    <row r="15" spans="1:20" x14ac:dyDescent="0.3">
      <c r="A15" t="s">
        <v>22</v>
      </c>
      <c r="B15" s="3">
        <v>25</v>
      </c>
      <c r="C15">
        <v>2010</v>
      </c>
      <c r="D15" s="2">
        <v>31675.626844177401</v>
      </c>
      <c r="E15" s="2">
        <v>38164.356792697385</v>
      </c>
      <c r="F15" s="11">
        <v>0.76317435000860945</v>
      </c>
      <c r="G15" s="5">
        <v>0.21129999999999999</v>
      </c>
      <c r="H15">
        <v>0.54700000000000004</v>
      </c>
      <c r="I15" s="4">
        <v>0.46</v>
      </c>
      <c r="J15" s="3">
        <v>508533876357</v>
      </c>
      <c r="K15" s="3">
        <v>743148791965.22363</v>
      </c>
      <c r="L15" s="3">
        <v>100967</v>
      </c>
      <c r="M15" s="3">
        <v>65134836000</v>
      </c>
      <c r="N15" s="3">
        <v>95185152727.705124</v>
      </c>
      <c r="O15" s="3">
        <v>2134776</v>
      </c>
      <c r="P15" s="10">
        <v>95.18515272770513</v>
      </c>
      <c r="Q15" s="10">
        <v>743.14879196522361</v>
      </c>
      <c r="R15" s="3">
        <f t="shared" si="0"/>
        <v>38164356792697.383</v>
      </c>
      <c r="S15" s="2">
        <f t="shared" si="1"/>
        <v>0.24940850764166023</v>
      </c>
      <c r="T15" s="11">
        <f t="shared" si="2"/>
        <v>2.4940850764166023E-3</v>
      </c>
    </row>
    <row r="16" spans="1:20" x14ac:dyDescent="0.3">
      <c r="A16" t="s">
        <v>22</v>
      </c>
      <c r="B16" s="3">
        <v>25</v>
      </c>
      <c r="C16">
        <v>2011</v>
      </c>
      <c r="D16" s="2">
        <v>35465.024486763461</v>
      </c>
      <c r="E16" s="2">
        <v>41523.674426624028</v>
      </c>
      <c r="F16" s="11">
        <v>0.74666698068976378</v>
      </c>
      <c r="G16" s="5">
        <v>0.2039</v>
      </c>
      <c r="H16">
        <v>0.53500000000000003</v>
      </c>
      <c r="I16" s="4">
        <v>0.45800000000000002</v>
      </c>
      <c r="J16" s="3">
        <v>541896030627</v>
      </c>
      <c r="K16" s="3">
        <v>757926734540.32434</v>
      </c>
      <c r="L16" s="3">
        <v>90174</v>
      </c>
      <c r="M16" s="3">
        <v>50589330000</v>
      </c>
      <c r="N16" s="3">
        <v>70757125947.422333</v>
      </c>
      <c r="O16" s="3">
        <v>2202092</v>
      </c>
      <c r="P16" s="10">
        <v>70.757125947422338</v>
      </c>
      <c r="Q16" s="10">
        <v>757.92673454032433</v>
      </c>
      <c r="R16" s="3">
        <f t="shared" si="0"/>
        <v>41523674426624.031</v>
      </c>
      <c r="S16" s="2">
        <f t="shared" si="1"/>
        <v>0.17040188982421672</v>
      </c>
      <c r="T16" s="11">
        <f t="shared" si="2"/>
        <v>1.7040188982421671E-3</v>
      </c>
    </row>
    <row r="17" spans="1:20" x14ac:dyDescent="0.3">
      <c r="A17" t="s">
        <v>22</v>
      </c>
      <c r="B17" s="3">
        <v>25</v>
      </c>
      <c r="C17">
        <v>2012</v>
      </c>
      <c r="D17" s="2">
        <v>38213.815698036007</v>
      </c>
      <c r="E17" s="2">
        <v>43035.536853194448</v>
      </c>
      <c r="F17" s="11">
        <v>0.76267621402410579</v>
      </c>
      <c r="G17" s="5">
        <v>0.22640000000000002</v>
      </c>
      <c r="H17">
        <v>0.52700000000000002</v>
      </c>
      <c r="I17" s="4">
        <v>0.46300000000000002</v>
      </c>
      <c r="J17" s="3">
        <v>574858288873</v>
      </c>
      <c r="K17" s="3">
        <v>760741721788.43225</v>
      </c>
      <c r="L17" s="3">
        <v>79837</v>
      </c>
      <c r="M17" s="3">
        <v>41313040000</v>
      </c>
      <c r="N17" s="3">
        <v>54671827457.736618</v>
      </c>
      <c r="O17" s="3">
        <v>2276097</v>
      </c>
      <c r="P17" s="10">
        <v>54.671827457736619</v>
      </c>
      <c r="Q17" s="10">
        <v>760.7417217884323</v>
      </c>
      <c r="R17" s="3">
        <f t="shared" si="0"/>
        <v>43035536853194.445</v>
      </c>
      <c r="S17" s="2">
        <f t="shared" si="1"/>
        <v>0.12703879504102999</v>
      </c>
      <c r="T17" s="11">
        <f t="shared" si="2"/>
        <v>1.2703879504102999E-3</v>
      </c>
    </row>
    <row r="18" spans="1:20" x14ac:dyDescent="0.3">
      <c r="A18" t="s">
        <v>22</v>
      </c>
      <c r="B18" s="3">
        <v>25</v>
      </c>
      <c r="C18">
        <v>2013</v>
      </c>
      <c r="D18" s="2">
        <v>40742.221560916681</v>
      </c>
      <c r="E18" s="2">
        <v>44776.212539391556</v>
      </c>
      <c r="F18" s="11">
        <v>0.77850597303320168</v>
      </c>
      <c r="G18" s="5">
        <v>0.26129999999999998</v>
      </c>
      <c r="H18">
        <v>0.52800000000000002</v>
      </c>
      <c r="I18" s="4">
        <v>0.46600000000000003</v>
      </c>
      <c r="J18" s="3">
        <v>590226064038</v>
      </c>
      <c r="K18" s="3">
        <v>725387832702.70203</v>
      </c>
      <c r="L18" s="3">
        <v>92775</v>
      </c>
      <c r="M18" s="3">
        <v>62146590000</v>
      </c>
      <c r="N18" s="3">
        <v>76378159110</v>
      </c>
      <c r="O18" s="3">
        <v>2357339</v>
      </c>
      <c r="P18" s="10">
        <v>76.378159109999999</v>
      </c>
      <c r="Q18" s="10">
        <v>725.38783270270198</v>
      </c>
      <c r="R18" s="3">
        <f t="shared" si="0"/>
        <v>44776212539391.555</v>
      </c>
      <c r="S18" s="2">
        <f t="shared" si="1"/>
        <v>0.17057753386981281</v>
      </c>
      <c r="T18" s="11">
        <f t="shared" si="2"/>
        <v>1.705775338698128E-3</v>
      </c>
    </row>
    <row r="19" spans="1:20" x14ac:dyDescent="0.3">
      <c r="A19" t="s">
        <v>22</v>
      </c>
      <c r="B19" s="3">
        <v>25</v>
      </c>
      <c r="C19">
        <v>2014</v>
      </c>
      <c r="D19" s="2">
        <v>43758.941662140467</v>
      </c>
      <c r="E19" s="2">
        <v>46230.447922796731</v>
      </c>
      <c r="F19" s="11">
        <v>0.77595059386228005</v>
      </c>
      <c r="G19" s="5">
        <v>0.29010000000000002</v>
      </c>
      <c r="H19">
        <v>0.52700000000000002</v>
      </c>
      <c r="I19" s="4">
        <v>0.46</v>
      </c>
      <c r="J19" s="3">
        <v>636330223333</v>
      </c>
      <c r="K19" s="3">
        <v>766715533800.25195</v>
      </c>
      <c r="L19" s="3">
        <v>94328</v>
      </c>
      <c r="M19" s="3">
        <v>67176858800</v>
      </c>
      <c r="N19" s="3">
        <v>80941528887.450974</v>
      </c>
      <c r="O19" s="3">
        <v>2446138</v>
      </c>
      <c r="P19" s="10">
        <v>80.941528887450971</v>
      </c>
      <c r="Q19" s="10">
        <v>766.71553380025193</v>
      </c>
      <c r="R19" s="3">
        <f t="shared" si="0"/>
        <v>46230447922796.734</v>
      </c>
      <c r="S19" s="2">
        <f t="shared" si="1"/>
        <v>0.17508272691326843</v>
      </c>
      <c r="T19" s="11">
        <f t="shared" si="2"/>
        <v>1.7508272691326842E-3</v>
      </c>
    </row>
    <row r="20" spans="1:20" x14ac:dyDescent="0.3">
      <c r="A20" t="s">
        <v>22</v>
      </c>
      <c r="B20" s="3">
        <v>25</v>
      </c>
      <c r="C20">
        <v>2015</v>
      </c>
      <c r="D20" s="2">
        <v>48055.146514952743</v>
      </c>
      <c r="E20" s="2">
        <v>48055.146514952743</v>
      </c>
      <c r="F20" s="11">
        <v>0.78568229877972362</v>
      </c>
      <c r="G20" s="5">
        <v>0.3029</v>
      </c>
      <c r="H20">
        <v>0.51100000000000001</v>
      </c>
      <c r="I20" s="4">
        <v>0.438</v>
      </c>
      <c r="J20" s="3">
        <v>635328213379</v>
      </c>
      <c r="K20" s="3">
        <v>741940682480.79724</v>
      </c>
      <c r="L20" s="3">
        <v>89980</v>
      </c>
      <c r="M20" s="3">
        <v>66214729750</v>
      </c>
      <c r="N20" s="3">
        <v>77326019443.890152</v>
      </c>
      <c r="O20" s="3">
        <v>2543338</v>
      </c>
      <c r="P20" s="10">
        <v>77.326019443890146</v>
      </c>
      <c r="Q20" s="10">
        <v>741.94068248079725</v>
      </c>
      <c r="R20" s="3">
        <f t="shared" si="0"/>
        <v>48055146514952.742</v>
      </c>
      <c r="S20" s="2">
        <f t="shared" si="1"/>
        <v>0.16091100548373014</v>
      </c>
      <c r="T20" s="11">
        <f t="shared" si="2"/>
        <v>1.6091100548373013E-3</v>
      </c>
    </row>
    <row r="21" spans="1:20" x14ac:dyDescent="0.3">
      <c r="A21" t="s">
        <v>22</v>
      </c>
      <c r="B21" s="3">
        <v>25</v>
      </c>
      <c r="C21">
        <v>2016</v>
      </c>
      <c r="D21" s="2">
        <v>53515.877953187504</v>
      </c>
      <c r="E21" s="2">
        <v>49600.649347074606</v>
      </c>
      <c r="F21" s="11">
        <v>0.76919999999999999</v>
      </c>
      <c r="G21" s="5">
        <v>0.30609999999999998</v>
      </c>
      <c r="H21">
        <v>0.50800000000000001</v>
      </c>
      <c r="I21" s="4">
        <v>0.439</v>
      </c>
      <c r="J21" s="3">
        <v>672934235428</v>
      </c>
      <c r="K21" s="3">
        <v>757636657512.8363</v>
      </c>
      <c r="L21" s="3">
        <v>85686</v>
      </c>
      <c r="M21" s="3">
        <v>64311541900</v>
      </c>
      <c r="N21" s="3">
        <v>72406453824.75267</v>
      </c>
      <c r="O21" s="3">
        <v>2652076</v>
      </c>
      <c r="P21" s="10">
        <v>72.406453824752674</v>
      </c>
      <c r="Q21" s="10">
        <v>757.63665751283634</v>
      </c>
      <c r="R21" s="3">
        <f t="shared" si="0"/>
        <v>49600649347074.609</v>
      </c>
      <c r="S21" s="2">
        <f t="shared" si="1"/>
        <v>0.14597884257138888</v>
      </c>
      <c r="T21" s="11">
        <f t="shared" si="2"/>
        <v>1.4597884257138887E-3</v>
      </c>
    </row>
    <row r="22" spans="1:20" x14ac:dyDescent="0.3">
      <c r="A22" t="s">
        <v>22</v>
      </c>
      <c r="B22" s="3">
        <v>25</v>
      </c>
      <c r="C22">
        <v>2017</v>
      </c>
      <c r="D22" s="2">
        <v>55731.039758124891</v>
      </c>
      <c r="E22" s="2">
        <v>50408.732976475134</v>
      </c>
      <c r="F22" s="11">
        <v>0.77099074799760015</v>
      </c>
      <c r="G22" s="5">
        <v>0.32850000000000001</v>
      </c>
      <c r="H22">
        <v>0.49700000000000005</v>
      </c>
      <c r="I22" s="4">
        <v>0.42799999999999999</v>
      </c>
      <c r="J22" s="3">
        <v>741915541112</v>
      </c>
      <c r="K22" s="3">
        <v>815430334489.9375</v>
      </c>
      <c r="L22" s="3">
        <v>86461</v>
      </c>
      <c r="M22" s="3">
        <v>60132802250</v>
      </c>
      <c r="N22" s="3">
        <v>66091230518.020035</v>
      </c>
      <c r="O22" s="3">
        <v>2773285</v>
      </c>
      <c r="P22" s="10">
        <v>66.091230518020041</v>
      </c>
      <c r="Q22" s="10">
        <v>815.43033448993754</v>
      </c>
      <c r="R22" s="3">
        <f t="shared" si="0"/>
        <v>50408732976475.133</v>
      </c>
      <c r="S22" s="2">
        <f t="shared" si="1"/>
        <v>0.13111067589987563</v>
      </c>
      <c r="T22" s="11">
        <f t="shared" si="2"/>
        <v>1.3111067589987562E-3</v>
      </c>
    </row>
    <row r="23" spans="1:20" x14ac:dyDescent="0.3">
      <c r="A23" t="s">
        <v>22</v>
      </c>
      <c r="B23" s="3">
        <v>25</v>
      </c>
      <c r="C23">
        <v>2018</v>
      </c>
      <c r="D23" s="2">
        <v>59139.807247278884</v>
      </c>
      <c r="E23" s="2">
        <v>51584.572224007716</v>
      </c>
      <c r="F23" s="11">
        <v>0.77711209296979744</v>
      </c>
      <c r="G23" s="5">
        <v>0.31489999999999996</v>
      </c>
      <c r="H23">
        <v>0.504</v>
      </c>
      <c r="I23" s="4">
        <v>0.42199999999999999</v>
      </c>
      <c r="J23" s="3">
        <v>759843601754</v>
      </c>
      <c r="K23" s="3">
        <v>819308463375.73779</v>
      </c>
      <c r="L23" s="3">
        <v>83402</v>
      </c>
      <c r="M23" s="3">
        <v>57337606100</v>
      </c>
      <c r="N23" s="3">
        <v>61824809525.267586</v>
      </c>
      <c r="O23" s="3">
        <v>2919060</v>
      </c>
      <c r="P23" s="10">
        <v>61.824809525267582</v>
      </c>
      <c r="Q23" s="10">
        <v>819.3084633757378</v>
      </c>
      <c r="R23" s="3">
        <f t="shared" si="0"/>
        <v>51584572224007.719</v>
      </c>
      <c r="S23" s="2">
        <f t="shared" si="1"/>
        <v>0.11985135644198289</v>
      </c>
      <c r="T23" s="11">
        <f t="shared" si="2"/>
        <v>1.1985135644198288E-3</v>
      </c>
    </row>
    <row r="24" spans="1:20" x14ac:dyDescent="0.3">
      <c r="A24" t="s">
        <v>23</v>
      </c>
      <c r="B24" s="3">
        <v>5</v>
      </c>
      <c r="C24">
        <v>2008</v>
      </c>
      <c r="D24" s="2">
        <v>68424.94881898418</v>
      </c>
      <c r="E24" s="2">
        <v>86215.889649426026</v>
      </c>
      <c r="F24" s="11">
        <v>0.71325971909878305</v>
      </c>
      <c r="G24" s="5">
        <v>0.35200000000000004</v>
      </c>
      <c r="H24">
        <v>0.55500000000000005</v>
      </c>
      <c r="I24" s="4">
        <v>0.57999999999999996</v>
      </c>
      <c r="J24" s="3">
        <v>794780205713</v>
      </c>
      <c r="K24" s="3">
        <v>1284736121032.8513</v>
      </c>
      <c r="L24" s="3">
        <v>154199</v>
      </c>
      <c r="M24" s="3">
        <v>93654742000</v>
      </c>
      <c r="N24" s="3">
        <v>151389817069.57779</v>
      </c>
      <c r="O24" s="3">
        <v>5662099</v>
      </c>
      <c r="P24" s="10">
        <v>151.38981706957779</v>
      </c>
      <c r="Q24" s="10">
        <v>1284.7361210328513</v>
      </c>
      <c r="R24" s="3">
        <f t="shared" si="0"/>
        <v>86215889649426.031</v>
      </c>
      <c r="S24" s="2">
        <f t="shared" si="1"/>
        <v>0.17559386985991121</v>
      </c>
      <c r="T24" s="11">
        <f t="shared" si="2"/>
        <v>1.755938698599112E-3</v>
      </c>
    </row>
    <row r="25" spans="1:20" x14ac:dyDescent="0.3">
      <c r="A25" t="s">
        <v>23</v>
      </c>
      <c r="B25" s="3">
        <v>5</v>
      </c>
      <c r="C25">
        <v>2009</v>
      </c>
      <c r="D25" s="2">
        <v>71308.814974037232</v>
      </c>
      <c r="E25" s="2">
        <v>85660.010690534502</v>
      </c>
      <c r="F25" s="11">
        <v>0.66806937667571009</v>
      </c>
      <c r="G25" s="5">
        <v>0.38700000000000001</v>
      </c>
      <c r="H25">
        <v>0.54400000000000004</v>
      </c>
      <c r="I25" s="4">
        <v>0.56000000000000005</v>
      </c>
      <c r="J25" s="3">
        <v>878405582528</v>
      </c>
      <c r="K25" s="3">
        <v>1345917542609.2908</v>
      </c>
      <c r="L25" s="3">
        <v>264082</v>
      </c>
      <c r="M25" s="3">
        <v>143082042000</v>
      </c>
      <c r="N25" s="3">
        <v>219234296992.89368</v>
      </c>
      <c r="O25" s="3">
        <v>5730377</v>
      </c>
      <c r="P25" s="10">
        <v>219.23429699289369</v>
      </c>
      <c r="Q25" s="10">
        <v>1345.9175426092909</v>
      </c>
      <c r="R25" s="3">
        <f t="shared" si="0"/>
        <v>85660010690534.5</v>
      </c>
      <c r="S25" s="2">
        <f t="shared" si="1"/>
        <v>0.25593540699513273</v>
      </c>
      <c r="T25" s="11">
        <f t="shared" si="2"/>
        <v>2.5593540699513275E-3</v>
      </c>
    </row>
    <row r="26" spans="1:20" x14ac:dyDescent="0.3">
      <c r="A26" t="s">
        <v>23</v>
      </c>
      <c r="B26" s="3">
        <v>5</v>
      </c>
      <c r="C26">
        <v>2010</v>
      </c>
      <c r="D26" s="2">
        <v>75981.871421071599</v>
      </c>
      <c r="E26" s="2">
        <v>88492.495048481767</v>
      </c>
      <c r="F26" s="11">
        <v>0.78714042357968994</v>
      </c>
      <c r="G26" s="5">
        <v>0.40960000000000002</v>
      </c>
      <c r="H26">
        <v>0.54700000000000004</v>
      </c>
      <c r="I26" s="4">
        <v>0.56100000000000005</v>
      </c>
      <c r="J26" s="3">
        <v>897674109840</v>
      </c>
      <c r="K26" s="3">
        <v>1311821023773.3176</v>
      </c>
      <c r="L26" s="3">
        <v>246401</v>
      </c>
      <c r="M26" s="3">
        <v>160793598000</v>
      </c>
      <c r="N26" s="3">
        <v>234976613486.32584</v>
      </c>
      <c r="O26" s="3">
        <v>5800160</v>
      </c>
      <c r="P26" s="10">
        <v>234.97661348632585</v>
      </c>
      <c r="Q26" s="10">
        <v>1311.8210237733176</v>
      </c>
      <c r="R26" s="3">
        <f t="shared" si="0"/>
        <v>88492495048481.766</v>
      </c>
      <c r="S26" s="2">
        <f t="shared" si="1"/>
        <v>0.26553281536201556</v>
      </c>
      <c r="T26" s="11">
        <f t="shared" si="2"/>
        <v>2.6553281536201554E-3</v>
      </c>
    </row>
    <row r="27" spans="1:20" x14ac:dyDescent="0.3">
      <c r="A27" t="s">
        <v>23</v>
      </c>
      <c r="B27" s="3">
        <v>5</v>
      </c>
      <c r="C27">
        <v>2011</v>
      </c>
      <c r="D27" s="2">
        <v>85578.122073564766</v>
      </c>
      <c r="E27" s="2">
        <v>95753.273584564915</v>
      </c>
      <c r="F27" s="11">
        <v>0.72585367132792777</v>
      </c>
      <c r="G27" s="5">
        <v>0.44350000000000001</v>
      </c>
      <c r="H27">
        <v>0.53500000000000003</v>
      </c>
      <c r="I27" s="4">
        <v>0.53700000000000003</v>
      </c>
      <c r="J27" s="3">
        <v>942699508682</v>
      </c>
      <c r="K27" s="3">
        <v>1318513367668.3486</v>
      </c>
      <c r="L27" s="3">
        <v>233530</v>
      </c>
      <c r="M27" s="3">
        <v>135308000000</v>
      </c>
      <c r="N27" s="3">
        <v>189249495846.13632</v>
      </c>
      <c r="O27" s="3">
        <v>5869191</v>
      </c>
      <c r="P27" s="10">
        <v>189.24949584613631</v>
      </c>
      <c r="Q27" s="10">
        <v>1318.5133676683486</v>
      </c>
      <c r="R27" s="3">
        <f t="shared" si="0"/>
        <v>95753273584564.922</v>
      </c>
      <c r="S27" s="2">
        <f t="shared" si="1"/>
        <v>0.19764284683071415</v>
      </c>
      <c r="T27" s="11">
        <f t="shared" si="2"/>
        <v>1.9764284683071415E-3</v>
      </c>
    </row>
    <row r="28" spans="1:20" x14ac:dyDescent="0.3">
      <c r="A28" t="s">
        <v>23</v>
      </c>
      <c r="B28" s="3">
        <v>5</v>
      </c>
      <c r="C28">
        <v>2012</v>
      </c>
      <c r="D28" s="2">
        <v>92318.043676536457</v>
      </c>
      <c r="E28" s="2">
        <v>99628.811719308651</v>
      </c>
      <c r="F28" s="11">
        <v>0.71726496485960267</v>
      </c>
      <c r="G28" s="5">
        <v>0.45409999999999995</v>
      </c>
      <c r="H28">
        <v>0.52700000000000002</v>
      </c>
      <c r="I28" s="4">
        <v>0.52900000000000003</v>
      </c>
      <c r="J28" s="3">
        <v>1014977273935</v>
      </c>
      <c r="K28" s="3">
        <v>1343175481496.8396</v>
      </c>
      <c r="L28" s="3">
        <v>216772</v>
      </c>
      <c r="M28" s="3">
        <v>116541300000</v>
      </c>
      <c r="N28" s="3">
        <v>154225538602.34738</v>
      </c>
      <c r="O28" s="3">
        <v>5935916</v>
      </c>
      <c r="P28" s="10">
        <v>154.22553860234737</v>
      </c>
      <c r="Q28" s="10">
        <v>1343.1754814968397</v>
      </c>
      <c r="R28" s="3">
        <f t="shared" si="0"/>
        <v>99628811719308.656</v>
      </c>
      <c r="S28" s="2">
        <f t="shared" si="1"/>
        <v>0.15480013857523262</v>
      </c>
      <c r="T28" s="11">
        <f t="shared" si="2"/>
        <v>1.5480013857523262E-3</v>
      </c>
    </row>
    <row r="29" spans="1:20" x14ac:dyDescent="0.3">
      <c r="A29" t="s">
        <v>23</v>
      </c>
      <c r="B29" s="3">
        <v>5</v>
      </c>
      <c r="C29">
        <v>2013</v>
      </c>
      <c r="D29" s="2">
        <v>98572.848541745116</v>
      </c>
      <c r="E29" s="2">
        <v>104011.82362270335</v>
      </c>
      <c r="F29" s="11">
        <v>0.71386235858023606</v>
      </c>
      <c r="G29" s="5">
        <v>0.48849999999999999</v>
      </c>
      <c r="H29">
        <v>0.52800000000000002</v>
      </c>
      <c r="I29" s="4">
        <v>0.53200000000000003</v>
      </c>
      <c r="J29" s="3">
        <v>1090677579441</v>
      </c>
      <c r="K29" s="3">
        <v>1340442745132.989</v>
      </c>
      <c r="L29" s="3">
        <v>293985</v>
      </c>
      <c r="M29" s="3">
        <v>199237325000</v>
      </c>
      <c r="N29" s="3">
        <v>244862672425.00003</v>
      </c>
      <c r="O29" s="3">
        <v>6001151</v>
      </c>
      <c r="P29" s="10">
        <v>244.86267242500003</v>
      </c>
      <c r="Q29" s="10">
        <v>1340.4427451329891</v>
      </c>
      <c r="R29" s="3">
        <f t="shared" si="0"/>
        <v>104011823622703.34</v>
      </c>
      <c r="S29" s="2">
        <f t="shared" si="1"/>
        <v>0.23541811295725831</v>
      </c>
      <c r="T29" s="11">
        <f t="shared" si="2"/>
        <v>2.354181129572583E-3</v>
      </c>
    </row>
    <row r="30" spans="1:20" x14ac:dyDescent="0.3">
      <c r="A30" t="s">
        <v>23</v>
      </c>
      <c r="B30" s="3">
        <v>5</v>
      </c>
      <c r="C30">
        <v>2014</v>
      </c>
      <c r="D30" s="2">
        <v>106818.96132105797</v>
      </c>
      <c r="E30" s="2">
        <v>111128.94804581454</v>
      </c>
      <c r="F30" s="11">
        <v>0.7245295021888416</v>
      </c>
      <c r="G30" s="5">
        <v>0.5101</v>
      </c>
      <c r="H30">
        <v>0.52700000000000002</v>
      </c>
      <c r="I30" s="4">
        <v>0.55500000000000005</v>
      </c>
      <c r="J30" s="3">
        <v>1165915702202</v>
      </c>
      <c r="K30" s="3">
        <v>1404814115692.4097</v>
      </c>
      <c r="L30" s="3">
        <v>298049</v>
      </c>
      <c r="M30" s="3">
        <v>216106676400</v>
      </c>
      <c r="N30" s="3">
        <v>260387358132.94116</v>
      </c>
      <c r="O30" s="3">
        <v>6066806</v>
      </c>
      <c r="P30" s="10">
        <v>260.38735813294119</v>
      </c>
      <c r="Q30" s="10">
        <v>1404.8141156924096</v>
      </c>
      <c r="R30" s="3">
        <f t="shared" si="0"/>
        <v>111128948045814.55</v>
      </c>
      <c r="S30" s="2">
        <f t="shared" si="1"/>
        <v>0.23431100780832789</v>
      </c>
      <c r="T30" s="11">
        <f t="shared" si="2"/>
        <v>2.3431100780832788E-3</v>
      </c>
    </row>
    <row r="31" spans="1:20" x14ac:dyDescent="0.3">
      <c r="A31" t="s">
        <v>23</v>
      </c>
      <c r="B31" s="3">
        <v>5</v>
      </c>
      <c r="C31">
        <v>2015</v>
      </c>
      <c r="D31" s="2">
        <v>115446.2569833156</v>
      </c>
      <c r="E31" s="2">
        <v>115446.2569833156</v>
      </c>
      <c r="F31" s="11">
        <v>0.71245457739556461</v>
      </c>
      <c r="G31" s="5">
        <v>0.5282</v>
      </c>
      <c r="H31">
        <v>0.51100000000000001</v>
      </c>
      <c r="I31" s="4">
        <v>0.52100000000000002</v>
      </c>
      <c r="J31" s="3">
        <v>1066042930061</v>
      </c>
      <c r="K31" s="3">
        <v>1244932308100.5027</v>
      </c>
      <c r="L31" s="3">
        <v>296873</v>
      </c>
      <c r="M31" s="3">
        <v>222147769100</v>
      </c>
      <c r="N31" s="3">
        <v>259425701467.02774</v>
      </c>
      <c r="O31" s="3">
        <v>6134953</v>
      </c>
      <c r="P31" s="10">
        <v>259.42570146702775</v>
      </c>
      <c r="Q31" s="10">
        <v>1244.9323081005027</v>
      </c>
      <c r="R31" s="3">
        <f t="shared" si="0"/>
        <v>115446256983315.59</v>
      </c>
      <c r="S31" s="2">
        <f t="shared" si="1"/>
        <v>0.22471555877686031</v>
      </c>
      <c r="T31" s="11">
        <f t="shared" si="2"/>
        <v>2.2471555877686031E-3</v>
      </c>
    </row>
    <row r="32" spans="1:20" x14ac:dyDescent="0.3">
      <c r="A32" t="s">
        <v>23</v>
      </c>
      <c r="B32" s="3">
        <v>5</v>
      </c>
      <c r="C32">
        <v>2016</v>
      </c>
      <c r="D32" s="2">
        <v>126021.64407252638</v>
      </c>
      <c r="E32" s="2">
        <v>119046.38411498669</v>
      </c>
      <c r="F32" s="11">
        <v>0.76800000000000002</v>
      </c>
      <c r="G32" s="5">
        <v>0.55010000000000003</v>
      </c>
      <c r="H32">
        <v>0.50800000000000001</v>
      </c>
      <c r="I32" s="4">
        <v>0.50800000000000001</v>
      </c>
      <c r="J32" s="3">
        <v>1159979393473</v>
      </c>
      <c r="K32" s="3">
        <v>1305986327023.0095</v>
      </c>
      <c r="L32" s="3">
        <v>298926</v>
      </c>
      <c r="M32" s="3">
        <v>226795399150</v>
      </c>
      <c r="N32" s="3">
        <v>255342200032.3837</v>
      </c>
      <c r="O32" s="3">
        <v>6211312</v>
      </c>
      <c r="P32" s="10">
        <v>255.34220003238369</v>
      </c>
      <c r="Q32" s="10">
        <v>1305.9863270230096</v>
      </c>
      <c r="R32" s="3">
        <f t="shared" si="0"/>
        <v>119046384114986.69</v>
      </c>
      <c r="S32" s="2">
        <f t="shared" si="1"/>
        <v>0.21448967302169306</v>
      </c>
      <c r="T32" s="11">
        <f t="shared" si="2"/>
        <v>2.1448967302169306E-3</v>
      </c>
    </row>
    <row r="33" spans="1:20" x14ac:dyDescent="0.3">
      <c r="A33" t="s">
        <v>23</v>
      </c>
      <c r="B33" s="3">
        <v>5</v>
      </c>
      <c r="C33">
        <v>2017</v>
      </c>
      <c r="D33" s="2">
        <v>132368.59065390422</v>
      </c>
      <c r="E33" s="2">
        <v>120973.26658047568</v>
      </c>
      <c r="F33" s="11">
        <v>0.76467527719942752</v>
      </c>
      <c r="G33" s="5">
        <v>0.57069999999999999</v>
      </c>
      <c r="H33">
        <v>0.49700000000000005</v>
      </c>
      <c r="I33" s="4">
        <v>0.496</v>
      </c>
      <c r="J33" s="3">
        <v>1184951157775</v>
      </c>
      <c r="K33" s="3">
        <v>1302365384462.0596</v>
      </c>
      <c r="L33" s="3">
        <v>307558</v>
      </c>
      <c r="M33" s="3">
        <v>226390308700</v>
      </c>
      <c r="N33" s="3">
        <v>248822830792.61316</v>
      </c>
      <c r="O33" s="3">
        <v>6296843</v>
      </c>
      <c r="P33" s="10">
        <v>248.82283079261316</v>
      </c>
      <c r="Q33" s="10">
        <v>1302.3653844620596</v>
      </c>
      <c r="R33" s="3">
        <f t="shared" si="0"/>
        <v>120973266580475.69</v>
      </c>
      <c r="S33" s="2">
        <f t="shared" si="1"/>
        <v>0.20568414644493987</v>
      </c>
      <c r="T33" s="11">
        <f t="shared" si="2"/>
        <v>2.0568414644493989E-3</v>
      </c>
    </row>
    <row r="34" spans="1:20" x14ac:dyDescent="0.3">
      <c r="A34" t="s">
        <v>23</v>
      </c>
      <c r="B34" s="3">
        <v>5</v>
      </c>
      <c r="C34">
        <v>2018</v>
      </c>
      <c r="D34" s="2">
        <v>141866.28536304302</v>
      </c>
      <c r="E34" s="2">
        <v>125098.43442224145</v>
      </c>
      <c r="F34" s="11">
        <v>0.76021355517533085</v>
      </c>
      <c r="G34" s="5">
        <v>0.56940000000000002</v>
      </c>
      <c r="H34">
        <v>0.504</v>
      </c>
      <c r="I34" s="4">
        <v>0.501</v>
      </c>
      <c r="J34" s="3">
        <v>1245686374085</v>
      </c>
      <c r="K34" s="3">
        <v>1343172972232.3784</v>
      </c>
      <c r="L34" s="3">
        <v>293296</v>
      </c>
      <c r="M34" s="3">
        <v>210727737550</v>
      </c>
      <c r="N34" s="3">
        <v>227219151999.42972</v>
      </c>
      <c r="O34" s="3">
        <v>6407102</v>
      </c>
      <c r="P34" s="10">
        <v>227.21915199942973</v>
      </c>
      <c r="Q34" s="10">
        <v>1343.1729722323785</v>
      </c>
      <c r="R34" s="3">
        <f t="shared" si="0"/>
        <v>125098434422241.45</v>
      </c>
      <c r="S34" s="2">
        <f t="shared" si="1"/>
        <v>0.18163229064282524</v>
      </c>
      <c r="T34" s="11">
        <f t="shared" si="2"/>
        <v>1.8163229064282523E-3</v>
      </c>
    </row>
    <row r="35" spans="1:20" x14ac:dyDescent="0.3">
      <c r="A35" t="s">
        <v>24</v>
      </c>
      <c r="B35" s="3">
        <v>76</v>
      </c>
      <c r="C35">
        <v>2008</v>
      </c>
      <c r="D35" s="2">
        <v>48319.492287334004</v>
      </c>
      <c r="E35" s="2">
        <v>62367.016260585442</v>
      </c>
      <c r="F35" s="11">
        <v>0.62054180420974436</v>
      </c>
      <c r="G35" s="5">
        <v>0.27660000000000001</v>
      </c>
      <c r="H35">
        <v>0.55500000000000005</v>
      </c>
      <c r="I35" s="4">
        <v>0.52200000000000002</v>
      </c>
      <c r="J35" s="3">
        <v>395357341052</v>
      </c>
      <c r="K35" s="3">
        <v>639082167766.55005</v>
      </c>
      <c r="L35" s="3">
        <v>91776</v>
      </c>
      <c r="M35" s="3">
        <v>49684105000</v>
      </c>
      <c r="N35" s="3">
        <v>80312725299.223984</v>
      </c>
      <c r="O35" s="3">
        <v>4284375</v>
      </c>
      <c r="P35" s="10">
        <v>80.312725299223985</v>
      </c>
      <c r="Q35" s="10">
        <v>639.08216776655001</v>
      </c>
      <c r="R35" s="3">
        <f t="shared" si="0"/>
        <v>62367016260585.445</v>
      </c>
      <c r="S35" s="2">
        <f t="shared" si="1"/>
        <v>0.12877435881116511</v>
      </c>
      <c r="T35" s="11">
        <f t="shared" si="2"/>
        <v>1.2877435881116512E-3</v>
      </c>
    </row>
    <row r="36" spans="1:20" x14ac:dyDescent="0.3">
      <c r="A36" t="s">
        <v>24</v>
      </c>
      <c r="B36" s="3">
        <v>76</v>
      </c>
      <c r="C36">
        <v>2009</v>
      </c>
      <c r="D36" s="2">
        <v>51607.005898154428</v>
      </c>
      <c r="E36" s="2">
        <v>62817.001204600878</v>
      </c>
      <c r="F36" s="11">
        <v>0.57211123626980409</v>
      </c>
      <c r="G36" s="5">
        <v>0.30570000000000003</v>
      </c>
      <c r="H36">
        <v>0.54400000000000004</v>
      </c>
      <c r="I36" s="4">
        <v>0.51600000000000001</v>
      </c>
      <c r="J36" s="3">
        <v>434443152885</v>
      </c>
      <c r="K36" s="3">
        <v>665665920578.06384</v>
      </c>
      <c r="L36" s="3">
        <v>153223</v>
      </c>
      <c r="M36" s="3">
        <v>65955640000</v>
      </c>
      <c r="N36" s="3">
        <v>101059071886.29848</v>
      </c>
      <c r="O36" s="3">
        <v>4303639</v>
      </c>
      <c r="P36" s="10">
        <v>101.05907188629848</v>
      </c>
      <c r="Q36" s="10">
        <v>665.66592057806383</v>
      </c>
      <c r="R36" s="3">
        <f t="shared" si="0"/>
        <v>62817001204600.875</v>
      </c>
      <c r="S36" s="2">
        <f t="shared" si="1"/>
        <v>0.1608785359828617</v>
      </c>
      <c r="T36" s="11">
        <f t="shared" si="2"/>
        <v>1.6087853598286169E-3</v>
      </c>
    </row>
    <row r="37" spans="1:20" x14ac:dyDescent="0.3">
      <c r="A37" t="s">
        <v>24</v>
      </c>
      <c r="B37" s="3">
        <v>76</v>
      </c>
      <c r="C37">
        <v>2010</v>
      </c>
      <c r="D37" s="2">
        <v>54213.031252962588</v>
      </c>
      <c r="E37" s="2">
        <v>63805.174121525146</v>
      </c>
      <c r="F37" s="11">
        <v>0.7171987241245884</v>
      </c>
      <c r="G37" s="5">
        <v>0.31790000000000002</v>
      </c>
      <c r="H37">
        <v>0.54700000000000004</v>
      </c>
      <c r="I37" s="4">
        <v>0.52</v>
      </c>
      <c r="J37" s="3">
        <v>418527348932</v>
      </c>
      <c r="K37" s="3">
        <v>611617255454.73022</v>
      </c>
      <c r="L37" s="3">
        <v>142910</v>
      </c>
      <c r="M37" s="3">
        <v>87496270000</v>
      </c>
      <c r="N37" s="3">
        <v>127863157942.92511</v>
      </c>
      <c r="O37" s="3">
        <v>4323751</v>
      </c>
      <c r="P37" s="10">
        <v>127.86315794292511</v>
      </c>
      <c r="Q37" s="10">
        <v>611.61725545473018</v>
      </c>
      <c r="R37" s="3">
        <f t="shared" si="0"/>
        <v>63805174121525.148</v>
      </c>
      <c r="S37" s="2">
        <f t="shared" si="1"/>
        <v>0.20039622131489415</v>
      </c>
      <c r="T37" s="11">
        <f t="shared" si="2"/>
        <v>2.0039622131489414E-3</v>
      </c>
    </row>
    <row r="38" spans="1:20" x14ac:dyDescent="0.3">
      <c r="A38" t="s">
        <v>24</v>
      </c>
      <c r="B38" s="3">
        <v>76</v>
      </c>
      <c r="C38">
        <v>2011</v>
      </c>
      <c r="D38" s="2">
        <v>58464.866335689512</v>
      </c>
      <c r="E38" s="2">
        <v>66669.530110673266</v>
      </c>
      <c r="F38" s="11">
        <v>0.66789424782579287</v>
      </c>
      <c r="G38" s="5">
        <v>0.34649999999999997</v>
      </c>
      <c r="H38">
        <v>0.53500000000000003</v>
      </c>
      <c r="I38" s="4">
        <v>0.505</v>
      </c>
      <c r="J38" s="3">
        <v>452210023512</v>
      </c>
      <c r="K38" s="3">
        <v>632486763282.40356</v>
      </c>
      <c r="L38" s="3">
        <v>128755</v>
      </c>
      <c r="M38" s="3">
        <v>68347490000</v>
      </c>
      <c r="N38" s="3">
        <v>95594702640.264023</v>
      </c>
      <c r="O38" s="3">
        <v>4343131</v>
      </c>
      <c r="P38" s="10">
        <v>95.594702640264018</v>
      </c>
      <c r="Q38" s="10">
        <v>632.48676328240356</v>
      </c>
      <c r="R38" s="3">
        <f t="shared" si="0"/>
        <v>66669530110673.266</v>
      </c>
      <c r="S38" s="2">
        <f t="shared" si="1"/>
        <v>0.14338589529815821</v>
      </c>
      <c r="T38" s="11">
        <f t="shared" si="2"/>
        <v>1.433858952981582E-3</v>
      </c>
    </row>
    <row r="39" spans="1:20" x14ac:dyDescent="0.3">
      <c r="A39" t="s">
        <v>24</v>
      </c>
      <c r="B39" s="3">
        <v>76</v>
      </c>
      <c r="C39">
        <v>2012</v>
      </c>
      <c r="D39" s="2">
        <v>62545.18962810775</v>
      </c>
      <c r="E39" s="2">
        <v>69200.508549936203</v>
      </c>
      <c r="F39" s="11">
        <v>0.7442150076516445</v>
      </c>
      <c r="G39" s="5">
        <v>0.34439999999999998</v>
      </c>
      <c r="H39">
        <v>0.52700000000000002</v>
      </c>
      <c r="I39" s="4">
        <v>0.51800000000000002</v>
      </c>
      <c r="J39" s="3">
        <v>469610752958</v>
      </c>
      <c r="K39" s="3">
        <v>621461844928.80591</v>
      </c>
      <c r="L39" s="3">
        <v>114637</v>
      </c>
      <c r="M39" s="3">
        <v>55748725000</v>
      </c>
      <c r="N39" s="3">
        <v>73775366668.461288</v>
      </c>
      <c r="O39" s="3">
        <v>4359288</v>
      </c>
      <c r="P39" s="10">
        <v>73.775366668461288</v>
      </c>
      <c r="Q39" s="10">
        <v>621.46184492880593</v>
      </c>
      <c r="R39" s="3">
        <f t="shared" si="0"/>
        <v>69200508549936.203</v>
      </c>
      <c r="S39" s="2">
        <f t="shared" si="1"/>
        <v>0.10661101806097827</v>
      </c>
      <c r="T39" s="11">
        <f t="shared" si="2"/>
        <v>1.0661101806097827E-3</v>
      </c>
    </row>
    <row r="40" spans="1:20" x14ac:dyDescent="0.3">
      <c r="A40" t="s">
        <v>24</v>
      </c>
      <c r="B40" s="3">
        <v>76</v>
      </c>
      <c r="C40">
        <v>2013</v>
      </c>
      <c r="D40" s="2">
        <v>66718.920396535235</v>
      </c>
      <c r="E40" s="2">
        <v>72245.755496645361</v>
      </c>
      <c r="F40" s="11">
        <v>0.74827570881652727</v>
      </c>
      <c r="G40" s="5">
        <v>0.37159999999999999</v>
      </c>
      <c r="H40">
        <v>0.52800000000000002</v>
      </c>
      <c r="I40" s="4">
        <v>0.504</v>
      </c>
      <c r="J40" s="3">
        <v>507879922369</v>
      </c>
      <c r="K40" s="3">
        <v>624184424591.5011</v>
      </c>
      <c r="L40" s="3">
        <v>156460</v>
      </c>
      <c r="M40" s="3">
        <v>95720225000</v>
      </c>
      <c r="N40" s="3">
        <v>117640156525.00002</v>
      </c>
      <c r="O40" s="3">
        <v>4371304</v>
      </c>
      <c r="P40" s="10">
        <v>117.64015652500001</v>
      </c>
      <c r="Q40" s="10">
        <v>624.18442459150106</v>
      </c>
      <c r="R40" s="3">
        <f t="shared" si="0"/>
        <v>72245755496645.359</v>
      </c>
      <c r="S40" s="2">
        <f t="shared" si="1"/>
        <v>0.16283331209743179</v>
      </c>
      <c r="T40" s="11">
        <f t="shared" si="2"/>
        <v>1.6283331209743178E-3</v>
      </c>
    </row>
    <row r="41" spans="1:20" x14ac:dyDescent="0.3">
      <c r="A41" t="s">
        <v>24</v>
      </c>
      <c r="B41" s="3">
        <v>76</v>
      </c>
      <c r="C41">
        <v>2014</v>
      </c>
      <c r="D41" s="2">
        <v>72278.809930533083</v>
      </c>
      <c r="E41" s="2">
        <v>75900.948812651186</v>
      </c>
      <c r="F41" s="11">
        <v>0.78181084676464085</v>
      </c>
      <c r="G41" s="5">
        <v>0.39130000000000004</v>
      </c>
      <c r="H41">
        <v>0.52700000000000002</v>
      </c>
      <c r="I41" s="4">
        <v>0.48799999999999999</v>
      </c>
      <c r="J41" s="3">
        <v>529702320734</v>
      </c>
      <c r="K41" s="3">
        <v>638239364884.39795</v>
      </c>
      <c r="L41" s="3">
        <v>152708</v>
      </c>
      <c r="M41" s="3">
        <v>102248698600</v>
      </c>
      <c r="N41" s="3">
        <v>123199657430.7843</v>
      </c>
      <c r="O41" s="3">
        <v>4383018</v>
      </c>
      <c r="P41" s="10">
        <v>123.1996574307843</v>
      </c>
      <c r="Q41" s="10">
        <v>638.2393648843979</v>
      </c>
      <c r="R41" s="3">
        <f t="shared" si="0"/>
        <v>75900948812651.188</v>
      </c>
      <c r="S41" s="2">
        <f t="shared" si="1"/>
        <v>0.16231636014838507</v>
      </c>
      <c r="T41" s="11">
        <f t="shared" si="2"/>
        <v>1.6231636014838507E-3</v>
      </c>
    </row>
    <row r="42" spans="1:20" x14ac:dyDescent="0.3">
      <c r="A42" t="s">
        <v>24</v>
      </c>
      <c r="B42" s="3">
        <v>76</v>
      </c>
      <c r="C42">
        <v>2015</v>
      </c>
      <c r="D42" s="2">
        <v>78074.261930772918</v>
      </c>
      <c r="E42" s="2">
        <v>78074.261930772918</v>
      </c>
      <c r="F42" s="11">
        <v>0.79478961982994278</v>
      </c>
      <c r="G42" s="5">
        <v>0.40979999999999994</v>
      </c>
      <c r="H42">
        <v>0.51100000000000001</v>
      </c>
      <c r="I42" s="4">
        <v>0.47899999999999998</v>
      </c>
      <c r="J42" s="3">
        <v>483380959329</v>
      </c>
      <c r="K42" s="3">
        <v>564495628102.75659</v>
      </c>
      <c r="L42" s="3">
        <v>139072</v>
      </c>
      <c r="M42" s="3">
        <v>94534930250</v>
      </c>
      <c r="N42" s="3">
        <v>110398545493.39606</v>
      </c>
      <c r="O42" s="3">
        <v>4397194</v>
      </c>
      <c r="P42" s="10">
        <v>110.39854549339606</v>
      </c>
      <c r="Q42" s="10">
        <v>564.49562810275654</v>
      </c>
      <c r="R42" s="3">
        <f t="shared" si="0"/>
        <v>78074261930772.922</v>
      </c>
      <c r="S42" s="2">
        <f t="shared" si="1"/>
        <v>0.1414019713580956</v>
      </c>
      <c r="T42" s="11">
        <f t="shared" si="2"/>
        <v>1.4140197135809559E-3</v>
      </c>
    </row>
    <row r="43" spans="1:20" x14ac:dyDescent="0.3">
      <c r="A43" t="s">
        <v>24</v>
      </c>
      <c r="B43" s="3">
        <v>76</v>
      </c>
      <c r="C43">
        <v>2016</v>
      </c>
      <c r="D43" s="2">
        <v>85102.008766125262</v>
      </c>
      <c r="E43" s="2">
        <v>80021.621598605547</v>
      </c>
      <c r="F43" s="11">
        <v>0.79099999999999993</v>
      </c>
      <c r="G43" s="5">
        <v>0.4274</v>
      </c>
      <c r="H43">
        <v>0.50800000000000001</v>
      </c>
      <c r="I43" s="4">
        <v>0.48299999999999998</v>
      </c>
      <c r="J43" s="3">
        <v>509011928246.40002</v>
      </c>
      <c r="K43" s="3">
        <v>573081403274.84949</v>
      </c>
      <c r="L43" s="3">
        <v>136506</v>
      </c>
      <c r="M43" s="3">
        <v>95754340350</v>
      </c>
      <c r="N43" s="3">
        <v>107806966187.38551</v>
      </c>
      <c r="O43" s="3">
        <v>4414569</v>
      </c>
      <c r="P43" s="10">
        <v>107.80696618738551</v>
      </c>
      <c r="Q43" s="10">
        <v>573.08140327484944</v>
      </c>
      <c r="R43" s="3">
        <f t="shared" si="0"/>
        <v>80021621598605.547</v>
      </c>
      <c r="S43" s="2">
        <f t="shared" si="1"/>
        <v>0.13472229634154798</v>
      </c>
      <c r="T43" s="11">
        <f t="shared" si="2"/>
        <v>1.3472229634154797E-3</v>
      </c>
    </row>
    <row r="44" spans="1:20" x14ac:dyDescent="0.3">
      <c r="A44" t="s">
        <v>24</v>
      </c>
      <c r="B44" s="3">
        <v>76</v>
      </c>
      <c r="C44">
        <v>2017</v>
      </c>
      <c r="D44" s="2">
        <v>89765.790962195897</v>
      </c>
      <c r="E44" s="2">
        <v>81446.844055755093</v>
      </c>
      <c r="F44" s="11">
        <v>0.81234998321572338</v>
      </c>
      <c r="G44" s="5">
        <v>0.43880000000000002</v>
      </c>
      <c r="H44">
        <v>0.49700000000000005</v>
      </c>
      <c r="I44" s="4">
        <v>0.47199999999999998</v>
      </c>
      <c r="J44" s="3">
        <v>554166076625</v>
      </c>
      <c r="K44" s="3">
        <v>609077184915.15393</v>
      </c>
      <c r="L44" s="3">
        <v>137668</v>
      </c>
      <c r="M44" s="3">
        <v>90692747200</v>
      </c>
      <c r="N44" s="3">
        <v>99679293783.580765</v>
      </c>
      <c r="O44" s="3">
        <v>4432549</v>
      </c>
      <c r="P44" s="10">
        <v>99.679293783580761</v>
      </c>
      <c r="Q44" s="10">
        <v>609.07718491515391</v>
      </c>
      <c r="R44" s="3">
        <f t="shared" si="0"/>
        <v>81446844055755.094</v>
      </c>
      <c r="S44" s="2">
        <f t="shared" si="1"/>
        <v>0.1223857043685382</v>
      </c>
      <c r="T44" s="11">
        <f t="shared" si="2"/>
        <v>1.223857043685382E-3</v>
      </c>
    </row>
    <row r="45" spans="1:20" x14ac:dyDescent="0.3">
      <c r="A45" t="s">
        <v>24</v>
      </c>
      <c r="B45" s="3">
        <v>76</v>
      </c>
      <c r="C45">
        <v>2018</v>
      </c>
      <c r="D45" s="2">
        <v>95402.714910537296</v>
      </c>
      <c r="E45" s="2">
        <v>84055.73739461982</v>
      </c>
      <c r="F45" s="11">
        <v>0.81659116524466002</v>
      </c>
      <c r="G45" s="5">
        <v>0.43219999999999997</v>
      </c>
      <c r="H45">
        <v>0.504</v>
      </c>
      <c r="I45" s="4">
        <v>0.46800000000000003</v>
      </c>
      <c r="J45" s="3">
        <v>552914212345</v>
      </c>
      <c r="K45" s="3">
        <v>596184915750.13599</v>
      </c>
      <c r="L45" s="3">
        <v>133206</v>
      </c>
      <c r="M45" s="3">
        <v>87612846250</v>
      </c>
      <c r="N45" s="3">
        <v>94469370101.114227</v>
      </c>
      <c r="O45" s="3">
        <v>4475886</v>
      </c>
      <c r="P45" s="10">
        <v>94.469370101114222</v>
      </c>
      <c r="Q45" s="10">
        <v>596.18491575013604</v>
      </c>
      <c r="R45" s="3">
        <f t="shared" si="0"/>
        <v>84055737394619.828</v>
      </c>
      <c r="S45" s="2">
        <f t="shared" si="1"/>
        <v>0.11238896121701378</v>
      </c>
      <c r="T45" s="11">
        <f t="shared" si="2"/>
        <v>1.1238896121701378E-3</v>
      </c>
    </row>
    <row r="46" spans="1:20" x14ac:dyDescent="0.3">
      <c r="A46" t="s">
        <v>25</v>
      </c>
      <c r="B46" s="3">
        <v>68</v>
      </c>
      <c r="C46">
        <v>2008</v>
      </c>
      <c r="D46" s="2">
        <v>28389.110596492137</v>
      </c>
      <c r="E46" s="2">
        <v>40470.589807688848</v>
      </c>
      <c r="F46" s="11">
        <v>0.68360025298290494</v>
      </c>
      <c r="G46" s="5">
        <v>0.4481</v>
      </c>
      <c r="H46">
        <v>0.55500000000000005</v>
      </c>
      <c r="I46" s="4">
        <v>0.49099999999999999</v>
      </c>
      <c r="J46" s="3">
        <v>353122323169</v>
      </c>
      <c r="K46" s="3">
        <v>570810647342.76074</v>
      </c>
      <c r="L46" s="3">
        <v>68990</v>
      </c>
      <c r="M46" s="3">
        <v>39872284000</v>
      </c>
      <c r="N46" s="3">
        <v>64452238637.379974</v>
      </c>
      <c r="O46" s="3">
        <v>1951797</v>
      </c>
      <c r="P46" s="10">
        <v>64.452238637379978</v>
      </c>
      <c r="Q46" s="10">
        <v>570.81064734276072</v>
      </c>
      <c r="R46" s="3">
        <f t="shared" si="0"/>
        <v>40470589807688.852</v>
      </c>
      <c r="S46" s="2">
        <f t="shared" si="1"/>
        <v>0.15925697881757814</v>
      </c>
      <c r="T46" s="11">
        <f t="shared" si="2"/>
        <v>1.5925697881757814E-3</v>
      </c>
    </row>
    <row r="47" spans="1:20" x14ac:dyDescent="0.3">
      <c r="A47" t="s">
        <v>25</v>
      </c>
      <c r="B47" s="3">
        <v>68</v>
      </c>
      <c r="C47">
        <v>2009</v>
      </c>
      <c r="D47" s="2">
        <v>28494.323790897812</v>
      </c>
      <c r="E47" s="2">
        <v>40212.066032854163</v>
      </c>
      <c r="F47" s="11">
        <v>0.6003376999551826</v>
      </c>
      <c r="G47" s="5">
        <v>0.45090000000000002</v>
      </c>
      <c r="H47">
        <v>0.54400000000000004</v>
      </c>
      <c r="I47" s="4">
        <v>0.50600000000000001</v>
      </c>
      <c r="J47" s="3">
        <v>374832382887</v>
      </c>
      <c r="K47" s="3">
        <v>574328635541.85645</v>
      </c>
      <c r="L47" s="3">
        <v>104739</v>
      </c>
      <c r="M47" s="3">
        <v>61002966000</v>
      </c>
      <c r="N47" s="3">
        <v>93470446595.187637</v>
      </c>
      <c r="O47" s="3">
        <v>1974226</v>
      </c>
      <c r="P47" s="10">
        <v>93.470446595187639</v>
      </c>
      <c r="Q47" s="10">
        <v>574.32863554185644</v>
      </c>
      <c r="R47" s="3">
        <f t="shared" si="0"/>
        <v>40212066032854.164</v>
      </c>
      <c r="S47" s="2">
        <f t="shared" si="1"/>
        <v>0.23244378072695937</v>
      </c>
      <c r="T47" s="11">
        <f t="shared" si="2"/>
        <v>2.3244378072695936E-3</v>
      </c>
    </row>
    <row r="48" spans="1:20" x14ac:dyDescent="0.3">
      <c r="A48" t="s">
        <v>25</v>
      </c>
      <c r="B48" s="3">
        <v>68</v>
      </c>
      <c r="C48">
        <v>2010</v>
      </c>
      <c r="D48" s="2">
        <v>32726.180723060352</v>
      </c>
      <c r="E48" s="2">
        <v>42785.684735141069</v>
      </c>
      <c r="F48" s="11">
        <v>0.72418545673573331</v>
      </c>
      <c r="G48" s="5">
        <v>0.47950000000000004</v>
      </c>
      <c r="H48">
        <v>0.54700000000000004</v>
      </c>
      <c r="I48" s="4">
        <v>0.50700000000000001</v>
      </c>
      <c r="J48" s="3">
        <v>356792838929</v>
      </c>
      <c r="K48" s="3">
        <v>521401187923.59222</v>
      </c>
      <c r="L48" s="3">
        <v>98039</v>
      </c>
      <c r="M48" s="3">
        <v>62750761000</v>
      </c>
      <c r="N48" s="3">
        <v>91701171544.589783</v>
      </c>
      <c r="O48" s="3">
        <v>1996352</v>
      </c>
      <c r="P48" s="10">
        <v>91.701171544589783</v>
      </c>
      <c r="Q48" s="10">
        <v>521.40118792359226</v>
      </c>
      <c r="R48" s="3">
        <f t="shared" si="0"/>
        <v>42785684735141.07</v>
      </c>
      <c r="S48" s="2">
        <f t="shared" si="1"/>
        <v>0.21432675931740566</v>
      </c>
      <c r="T48" s="11">
        <f t="shared" si="2"/>
        <v>2.1432675931740567E-3</v>
      </c>
    </row>
    <row r="49" spans="1:20" x14ac:dyDescent="0.3">
      <c r="A49" t="s">
        <v>25</v>
      </c>
      <c r="B49" s="3">
        <v>68</v>
      </c>
      <c r="C49">
        <v>2011</v>
      </c>
      <c r="D49" s="2">
        <v>37783.839003809946</v>
      </c>
      <c r="E49" s="2">
        <v>44685.398765948783</v>
      </c>
      <c r="F49" s="11">
        <v>0.7366957490717515</v>
      </c>
      <c r="G49" s="5">
        <v>0.53849999999999998</v>
      </c>
      <c r="H49">
        <v>0.53500000000000003</v>
      </c>
      <c r="I49" s="4">
        <v>0.501</v>
      </c>
      <c r="J49" s="3">
        <v>390188098366</v>
      </c>
      <c r="K49" s="3">
        <v>545739356881.54547</v>
      </c>
      <c r="L49" s="3">
        <v>90412</v>
      </c>
      <c r="M49" s="3">
        <v>51399215000</v>
      </c>
      <c r="N49" s="3">
        <v>71889877358.597931</v>
      </c>
      <c r="O49" s="3">
        <v>2017680</v>
      </c>
      <c r="P49" s="10">
        <v>71.889877358597928</v>
      </c>
      <c r="Q49" s="10">
        <v>545.73935688154552</v>
      </c>
      <c r="R49" s="3">
        <f t="shared" si="0"/>
        <v>44685398765948.781</v>
      </c>
      <c r="S49" s="2">
        <f t="shared" si="1"/>
        <v>0.16088001750893974</v>
      </c>
      <c r="T49" s="11">
        <f t="shared" si="2"/>
        <v>1.6088001750893975E-3</v>
      </c>
    </row>
    <row r="50" spans="1:20" x14ac:dyDescent="0.3">
      <c r="A50" t="s">
        <v>25</v>
      </c>
      <c r="B50" s="3">
        <v>68</v>
      </c>
      <c r="C50">
        <v>2012</v>
      </c>
      <c r="D50" s="2">
        <v>40282.526484783593</v>
      </c>
      <c r="E50" s="2">
        <v>45841.493848917395</v>
      </c>
      <c r="F50" s="11">
        <v>0.68007115343850588</v>
      </c>
      <c r="G50" s="5">
        <v>0.54090000000000005</v>
      </c>
      <c r="H50">
        <v>0.52700000000000002</v>
      </c>
      <c r="I50" s="4">
        <v>0.48699999999999999</v>
      </c>
      <c r="J50" s="3">
        <v>399731416702</v>
      </c>
      <c r="K50" s="3">
        <v>528986659983.58783</v>
      </c>
      <c r="L50" s="3">
        <v>81192</v>
      </c>
      <c r="M50" s="3">
        <v>43076285000</v>
      </c>
      <c r="N50" s="3">
        <v>57005226946.268982</v>
      </c>
      <c r="O50" s="3">
        <v>2038122</v>
      </c>
      <c r="P50" s="10">
        <v>57.005226946268984</v>
      </c>
      <c r="Q50" s="10">
        <v>528.98665998358786</v>
      </c>
      <c r="R50" s="3">
        <f t="shared" si="0"/>
        <v>45841493848917.398</v>
      </c>
      <c r="S50" s="2">
        <f t="shared" si="1"/>
        <v>0.12435289987308132</v>
      </c>
      <c r="T50" s="11">
        <f t="shared" si="2"/>
        <v>1.2435289987308131E-3</v>
      </c>
    </row>
    <row r="51" spans="1:20" x14ac:dyDescent="0.3">
      <c r="A51" t="s">
        <v>25</v>
      </c>
      <c r="B51" s="3">
        <v>68</v>
      </c>
      <c r="C51">
        <v>2013</v>
      </c>
      <c r="D51" s="2">
        <v>43409.315436218036</v>
      </c>
      <c r="E51" s="2">
        <v>47680.207887910183</v>
      </c>
      <c r="F51" s="11">
        <v>0.73703282190511854</v>
      </c>
      <c r="G51" s="5">
        <v>0.58899999999999997</v>
      </c>
      <c r="H51">
        <v>0.52800000000000002</v>
      </c>
      <c r="I51" s="4">
        <v>0.49199999999999999</v>
      </c>
      <c r="J51" s="3">
        <v>422234882429</v>
      </c>
      <c r="K51" s="3">
        <v>518926670505.24103</v>
      </c>
      <c r="L51" s="3">
        <v>104914</v>
      </c>
      <c r="M51" s="3">
        <v>72193015000</v>
      </c>
      <c r="N51" s="3">
        <v>88725215435</v>
      </c>
      <c r="O51" s="3">
        <v>2057952</v>
      </c>
      <c r="P51" s="10">
        <v>88.725215434999996</v>
      </c>
      <c r="Q51" s="10">
        <v>518.92667050524108</v>
      </c>
      <c r="R51" s="3">
        <f t="shared" si="0"/>
        <v>47680207887910.18</v>
      </c>
      <c r="S51" s="2">
        <f t="shared" si="1"/>
        <v>0.18608395257751639</v>
      </c>
      <c r="T51" s="11">
        <f t="shared" si="2"/>
        <v>1.8608395257751638E-3</v>
      </c>
    </row>
    <row r="52" spans="1:20" x14ac:dyDescent="0.3">
      <c r="A52" t="s">
        <v>25</v>
      </c>
      <c r="B52" s="3">
        <v>68</v>
      </c>
      <c r="C52">
        <v>2014</v>
      </c>
      <c r="D52" s="2">
        <v>50858.409123113219</v>
      </c>
      <c r="E52" s="2">
        <v>52134.659671157329</v>
      </c>
      <c r="F52" s="11">
        <v>0.7506445778083517</v>
      </c>
      <c r="G52" s="5">
        <v>0.60870000000000002</v>
      </c>
      <c r="H52">
        <v>0.52700000000000002</v>
      </c>
      <c r="I52" s="4">
        <v>0.497</v>
      </c>
      <c r="J52" s="3">
        <v>444255622575</v>
      </c>
      <c r="K52" s="3">
        <v>535284470730.07349</v>
      </c>
      <c r="L52" s="3">
        <v>104220</v>
      </c>
      <c r="M52" s="3">
        <v>77621081400</v>
      </c>
      <c r="N52" s="3">
        <v>93525793177.058823</v>
      </c>
      <c r="O52" s="3">
        <v>2077348</v>
      </c>
      <c r="P52" s="10">
        <v>93.525793177058816</v>
      </c>
      <c r="Q52" s="10">
        <v>535.28447073007351</v>
      </c>
      <c r="R52" s="3">
        <f t="shared" si="0"/>
        <v>52134659671157.328</v>
      </c>
      <c r="S52" s="2">
        <f t="shared" si="1"/>
        <v>0.1793927375127769</v>
      </c>
      <c r="T52" s="11">
        <f t="shared" si="2"/>
        <v>1.793927375127769E-3</v>
      </c>
    </row>
    <row r="53" spans="1:20" x14ac:dyDescent="0.3">
      <c r="A53" t="s">
        <v>25</v>
      </c>
      <c r="B53" s="3">
        <v>68</v>
      </c>
      <c r="C53">
        <v>2015</v>
      </c>
      <c r="D53" s="2">
        <v>51999.22965436837</v>
      </c>
      <c r="E53" s="2">
        <v>51999.22965436837</v>
      </c>
      <c r="F53" s="11">
        <v>0.78977317881130249</v>
      </c>
      <c r="G53" s="5">
        <v>0.6321</v>
      </c>
      <c r="H53">
        <v>0.51100000000000001</v>
      </c>
      <c r="I53" s="4">
        <v>0.47099999999999997</v>
      </c>
      <c r="J53" s="3">
        <v>440458674355</v>
      </c>
      <c r="K53" s="3">
        <v>514370686794.27502</v>
      </c>
      <c r="L53" s="3">
        <v>98584</v>
      </c>
      <c r="M53" s="3">
        <v>74983078800</v>
      </c>
      <c r="N53" s="3">
        <v>87565758119.726349</v>
      </c>
      <c r="O53" s="3">
        <v>2097069</v>
      </c>
      <c r="P53" s="10">
        <v>87.565758119726354</v>
      </c>
      <c r="Q53" s="10">
        <v>514.370686794275</v>
      </c>
      <c r="R53" s="3">
        <f t="shared" si="0"/>
        <v>51999229654368.367</v>
      </c>
      <c r="S53" s="2">
        <f t="shared" si="1"/>
        <v>0.16839818339956905</v>
      </c>
      <c r="T53" s="11">
        <f t="shared" si="2"/>
        <v>1.6839818339956904E-3</v>
      </c>
    </row>
    <row r="54" spans="1:20" x14ac:dyDescent="0.3">
      <c r="A54" t="s">
        <v>25</v>
      </c>
      <c r="B54" s="3">
        <v>68</v>
      </c>
      <c r="C54">
        <v>2016</v>
      </c>
      <c r="D54" s="2">
        <v>55182.201979136436</v>
      </c>
      <c r="E54" s="2">
        <v>53175.383014299165</v>
      </c>
      <c r="F54" s="11">
        <v>0.77349999999999997</v>
      </c>
      <c r="G54" s="5">
        <v>0.63819999999999999</v>
      </c>
      <c r="H54">
        <v>0.50800000000000001</v>
      </c>
      <c r="I54" s="4">
        <v>0.45100000000000001</v>
      </c>
      <c r="J54" s="3">
        <v>485787632663</v>
      </c>
      <c r="K54" s="3">
        <v>546933859053.52429</v>
      </c>
      <c r="L54" s="3">
        <v>95484</v>
      </c>
      <c r="M54" s="3">
        <v>74843298950</v>
      </c>
      <c r="N54" s="3">
        <v>84263846106.220245</v>
      </c>
      <c r="O54" s="3">
        <v>2119954</v>
      </c>
      <c r="P54" s="10">
        <v>84.263846106220242</v>
      </c>
      <c r="Q54" s="10">
        <v>546.93385905352432</v>
      </c>
      <c r="R54" s="3">
        <f t="shared" si="0"/>
        <v>53175383014299.164</v>
      </c>
      <c r="S54" s="2">
        <f t="shared" si="1"/>
        <v>0.15846401347699032</v>
      </c>
      <c r="T54" s="11">
        <f t="shared" si="2"/>
        <v>1.5846401347699031E-3</v>
      </c>
    </row>
    <row r="55" spans="1:20" x14ac:dyDescent="0.3">
      <c r="A55" t="s">
        <v>25</v>
      </c>
      <c r="B55" s="3">
        <v>68</v>
      </c>
      <c r="C55">
        <v>2017</v>
      </c>
      <c r="D55" s="2">
        <v>59462.532179605296</v>
      </c>
      <c r="E55" s="2">
        <v>54065.427685436334</v>
      </c>
      <c r="F55" s="11">
        <v>0.76093607748888981</v>
      </c>
      <c r="G55" s="5">
        <v>0.64800000000000002</v>
      </c>
      <c r="H55">
        <v>0.49700000000000005</v>
      </c>
      <c r="I55" s="4">
        <v>0.45300000000000001</v>
      </c>
      <c r="J55" s="3">
        <v>539783639250</v>
      </c>
      <c r="K55" s="3">
        <v>593269623178.5459</v>
      </c>
      <c r="L55" s="3">
        <v>95127</v>
      </c>
      <c r="M55" s="3">
        <v>69613911800</v>
      </c>
      <c r="N55" s="3">
        <v>76511802541.76355</v>
      </c>
      <c r="O55" s="3">
        <v>2146496</v>
      </c>
      <c r="P55" s="10">
        <v>76.511802541763544</v>
      </c>
      <c r="Q55" s="10">
        <v>593.26962317854588</v>
      </c>
      <c r="R55" s="3">
        <f t="shared" si="0"/>
        <v>54065427685436.336</v>
      </c>
      <c r="S55" s="2">
        <f t="shared" si="1"/>
        <v>0.1415170577895449</v>
      </c>
      <c r="T55" s="11">
        <f t="shared" si="2"/>
        <v>1.415170577895449E-3</v>
      </c>
    </row>
    <row r="56" spans="1:20" x14ac:dyDescent="0.3">
      <c r="A56" t="s">
        <v>25</v>
      </c>
      <c r="B56" s="3">
        <v>68</v>
      </c>
      <c r="C56">
        <v>2018</v>
      </c>
      <c r="D56" s="2">
        <v>63500.495873994834</v>
      </c>
      <c r="E56" s="2">
        <v>54989.074966344779</v>
      </c>
      <c r="F56" s="11">
        <v>0.74062913994738777</v>
      </c>
      <c r="G56" s="5">
        <v>0.64410000000000001</v>
      </c>
      <c r="H56">
        <v>0.504</v>
      </c>
      <c r="I56" s="4">
        <v>0.48599999999999999</v>
      </c>
      <c r="J56" s="3">
        <v>551772130499</v>
      </c>
      <c r="K56" s="3">
        <v>594953455328.36548</v>
      </c>
      <c r="L56" s="3">
        <v>91988</v>
      </c>
      <c r="M56" s="3">
        <v>67057665600</v>
      </c>
      <c r="N56" s="3">
        <v>72305554502.895233</v>
      </c>
      <c r="O56" s="3">
        <v>2184837</v>
      </c>
      <c r="P56" s="10">
        <v>72.305554502895234</v>
      </c>
      <c r="Q56" s="10">
        <v>594.95345532836552</v>
      </c>
      <c r="R56" s="3">
        <f t="shared" si="0"/>
        <v>54989074966344.781</v>
      </c>
      <c r="S56" s="2">
        <f t="shared" si="1"/>
        <v>0.13149076347828861</v>
      </c>
      <c r="T56" s="11">
        <f t="shared" si="2"/>
        <v>1.3149076347828861E-3</v>
      </c>
    </row>
    <row r="57" spans="1:20" x14ac:dyDescent="0.3">
      <c r="A57" t="s">
        <v>26</v>
      </c>
      <c r="B57" s="3">
        <v>13</v>
      </c>
      <c r="C57">
        <v>2008</v>
      </c>
      <c r="D57" s="2">
        <v>16047.691294450937</v>
      </c>
      <c r="E57" s="2">
        <v>22152.015746325698</v>
      </c>
      <c r="F57" s="11">
        <v>0.64961952623084751</v>
      </c>
      <c r="G57" s="5">
        <v>0.2316</v>
      </c>
      <c r="H57">
        <v>0.55500000000000005</v>
      </c>
      <c r="I57" s="4">
        <v>0.54300000000000004</v>
      </c>
      <c r="J57" s="3">
        <v>324834625706</v>
      </c>
      <c r="K57" s="3">
        <v>525084512682.7226</v>
      </c>
      <c r="L57" s="3">
        <v>135755</v>
      </c>
      <c r="M57" s="3">
        <v>90377109000</v>
      </c>
      <c r="N57" s="3">
        <v>146091630883.86163</v>
      </c>
      <c r="O57" s="3">
        <v>1867503</v>
      </c>
      <c r="P57" s="10">
        <v>146.09163088386163</v>
      </c>
      <c r="Q57" s="10">
        <v>525.08451268272256</v>
      </c>
      <c r="R57" s="3">
        <f t="shared" si="0"/>
        <v>22152015746325.699</v>
      </c>
      <c r="S57" s="2">
        <f t="shared" si="1"/>
        <v>0.65949587864523573</v>
      </c>
      <c r="T57" s="11">
        <f t="shared" si="2"/>
        <v>6.594958786452357E-3</v>
      </c>
    </row>
    <row r="58" spans="1:20" x14ac:dyDescent="0.3">
      <c r="A58" t="s">
        <v>26</v>
      </c>
      <c r="B58" s="3">
        <v>13</v>
      </c>
      <c r="C58">
        <v>2009</v>
      </c>
      <c r="D58" s="2">
        <v>16432.357120825563</v>
      </c>
      <c r="E58" s="2">
        <v>22106.628084404685</v>
      </c>
      <c r="F58" s="11">
        <v>0.61749217494396047</v>
      </c>
      <c r="G58" s="5">
        <v>0.26789999999999997</v>
      </c>
      <c r="H58">
        <v>0.54400000000000004</v>
      </c>
      <c r="I58" s="4">
        <v>0.53300000000000003</v>
      </c>
      <c r="J58" s="3">
        <v>359716698350</v>
      </c>
      <c r="K58" s="3">
        <v>551167961940.09485</v>
      </c>
      <c r="L58" s="3">
        <v>193729</v>
      </c>
      <c r="M58" s="3">
        <v>105279390000</v>
      </c>
      <c r="N58" s="3">
        <v>161312018838.05014</v>
      </c>
      <c r="O58" s="3">
        <v>1888156</v>
      </c>
      <c r="P58" s="10">
        <v>161.31201883805014</v>
      </c>
      <c r="Q58" s="10">
        <v>551.16796194009487</v>
      </c>
      <c r="R58" s="3">
        <f t="shared" si="0"/>
        <v>22106628084404.684</v>
      </c>
      <c r="S58" s="2">
        <f t="shared" si="1"/>
        <v>0.72969979058836709</v>
      </c>
      <c r="T58" s="11">
        <f t="shared" si="2"/>
        <v>7.2969979058836705E-3</v>
      </c>
    </row>
    <row r="59" spans="1:20" x14ac:dyDescent="0.3">
      <c r="A59" t="s">
        <v>26</v>
      </c>
      <c r="B59" s="3">
        <v>13</v>
      </c>
      <c r="C59">
        <v>2010</v>
      </c>
      <c r="D59" s="2">
        <v>18363.003890084681</v>
      </c>
      <c r="E59" s="2">
        <v>23076.789357966394</v>
      </c>
      <c r="F59" s="11">
        <v>0.76380358601765896</v>
      </c>
      <c r="G59" s="5">
        <v>0.27989999999999998</v>
      </c>
      <c r="H59">
        <v>0.54700000000000004</v>
      </c>
      <c r="I59" s="4">
        <v>0.51400000000000001</v>
      </c>
      <c r="J59" s="3">
        <v>399727792105</v>
      </c>
      <c r="K59" s="3">
        <v>584144419140.36279</v>
      </c>
      <c r="L59" s="3">
        <v>182870</v>
      </c>
      <c r="M59" s="3">
        <v>124647585000</v>
      </c>
      <c r="N59" s="3">
        <v>182154437532.69919</v>
      </c>
      <c r="O59" s="3">
        <v>1907930</v>
      </c>
      <c r="P59" s="10">
        <v>182.15443753269918</v>
      </c>
      <c r="Q59" s="10">
        <v>584.14441914036274</v>
      </c>
      <c r="R59" s="3">
        <f t="shared" si="0"/>
        <v>23076789357966.395</v>
      </c>
      <c r="S59" s="2">
        <f t="shared" si="1"/>
        <v>0.78934046979900696</v>
      </c>
      <c r="T59" s="11">
        <f t="shared" si="2"/>
        <v>7.89340469799007E-3</v>
      </c>
    </row>
    <row r="60" spans="1:20" x14ac:dyDescent="0.3">
      <c r="A60" t="s">
        <v>26</v>
      </c>
      <c r="B60" s="3">
        <v>13</v>
      </c>
      <c r="C60">
        <v>2011</v>
      </c>
      <c r="D60" s="2">
        <v>21489.009083860077</v>
      </c>
      <c r="E60" s="2">
        <v>25158.948348592989</v>
      </c>
      <c r="F60" s="11">
        <v>0.75300106532225397</v>
      </c>
      <c r="G60" s="5">
        <v>0.32500000000000001</v>
      </c>
      <c r="H60">
        <v>0.53500000000000003</v>
      </c>
      <c r="I60" s="4">
        <v>0.5</v>
      </c>
      <c r="J60" s="3">
        <v>413681450819</v>
      </c>
      <c r="K60" s="3">
        <v>578598501259.30469</v>
      </c>
      <c r="L60" s="3">
        <v>173290</v>
      </c>
      <c r="M60" s="3">
        <v>104000380000</v>
      </c>
      <c r="N60" s="3">
        <v>145460870627.06271</v>
      </c>
      <c r="O60" s="3">
        <v>1926597</v>
      </c>
      <c r="P60" s="10">
        <v>145.46087062706272</v>
      </c>
      <c r="Q60" s="10">
        <v>578.59850125930473</v>
      </c>
      <c r="R60" s="3">
        <f t="shared" si="0"/>
        <v>25158948348592.988</v>
      </c>
      <c r="S60" s="2">
        <f t="shared" si="1"/>
        <v>0.57816753153435207</v>
      </c>
      <c r="T60" s="11">
        <f t="shared" si="2"/>
        <v>5.7816753153435204E-3</v>
      </c>
    </row>
    <row r="61" spans="1:20" x14ac:dyDescent="0.3">
      <c r="A61" t="s">
        <v>26</v>
      </c>
      <c r="B61" s="3">
        <v>13</v>
      </c>
      <c r="C61">
        <v>2012</v>
      </c>
      <c r="D61" s="2">
        <v>23078.33285253121</v>
      </c>
      <c r="E61" s="2">
        <v>25784.447064441989</v>
      </c>
      <c r="F61" s="11">
        <v>0.74052716221381498</v>
      </c>
      <c r="G61" s="5">
        <v>0.32909999999999995</v>
      </c>
      <c r="H61">
        <v>0.52700000000000002</v>
      </c>
      <c r="I61" s="4">
        <v>0.50700000000000001</v>
      </c>
      <c r="J61" s="3">
        <v>447135468123</v>
      </c>
      <c r="K61" s="3">
        <v>591719059247.51477</v>
      </c>
      <c r="L61" s="3">
        <v>154228</v>
      </c>
      <c r="M61" s="3">
        <v>83304755000</v>
      </c>
      <c r="N61" s="3">
        <v>110241783024.65813</v>
      </c>
      <c r="O61" s="3">
        <v>1944299</v>
      </c>
      <c r="P61" s="10">
        <v>110.24178302465813</v>
      </c>
      <c r="Q61" s="10">
        <v>591.71905924751479</v>
      </c>
      <c r="R61" s="3">
        <f t="shared" si="0"/>
        <v>25784447064441.988</v>
      </c>
      <c r="S61" s="2">
        <f t="shared" si="1"/>
        <v>0.42755147220778267</v>
      </c>
      <c r="T61" s="11">
        <f t="shared" si="2"/>
        <v>4.2755147220778266E-3</v>
      </c>
    </row>
    <row r="62" spans="1:20" x14ac:dyDescent="0.3">
      <c r="A62" t="s">
        <v>26</v>
      </c>
      <c r="B62" s="3">
        <v>13</v>
      </c>
      <c r="C62">
        <v>2013</v>
      </c>
      <c r="D62" s="2">
        <v>25858.703060108404</v>
      </c>
      <c r="E62" s="2">
        <v>28346.013234109309</v>
      </c>
      <c r="F62" s="11">
        <v>0.73348808240012087</v>
      </c>
      <c r="G62" s="5">
        <v>0.35710000000000003</v>
      </c>
      <c r="H62">
        <v>0.52800000000000002</v>
      </c>
      <c r="I62" s="4">
        <v>0.501</v>
      </c>
      <c r="J62" s="3">
        <v>488397481013</v>
      </c>
      <c r="K62" s="3">
        <v>600240504164.97705</v>
      </c>
      <c r="L62" s="3">
        <v>178304</v>
      </c>
      <c r="M62" s="3">
        <v>126730340000</v>
      </c>
      <c r="N62" s="3">
        <v>155751587860</v>
      </c>
      <c r="O62" s="3">
        <v>1961250</v>
      </c>
      <c r="P62" s="10">
        <v>155.75158786</v>
      </c>
      <c r="Q62" s="10">
        <v>600.2405041649771</v>
      </c>
      <c r="R62" s="3">
        <f t="shared" si="0"/>
        <v>28346013234109.309</v>
      </c>
      <c r="S62" s="2">
        <f t="shared" si="1"/>
        <v>0.54946558647824617</v>
      </c>
      <c r="T62" s="11">
        <f t="shared" si="2"/>
        <v>5.494655864782462E-3</v>
      </c>
    </row>
    <row r="63" spans="1:20" x14ac:dyDescent="0.3">
      <c r="A63" t="s">
        <v>26</v>
      </c>
      <c r="B63" s="3">
        <v>13</v>
      </c>
      <c r="C63">
        <v>2014</v>
      </c>
      <c r="D63" s="2">
        <v>26623.46238676746</v>
      </c>
      <c r="E63" s="2">
        <v>27792.851104446931</v>
      </c>
      <c r="F63" s="11">
        <v>0.62476073914648178</v>
      </c>
      <c r="G63" s="5">
        <v>0.35560000000000003</v>
      </c>
      <c r="H63">
        <v>0.52700000000000002</v>
      </c>
      <c r="I63" s="4">
        <v>0.51200000000000001</v>
      </c>
      <c r="J63" s="3">
        <v>522712911187</v>
      </c>
      <c r="K63" s="3">
        <v>629817811616.49316</v>
      </c>
      <c r="L63" s="3">
        <v>178666</v>
      </c>
      <c r="M63" s="3">
        <v>138847400200</v>
      </c>
      <c r="N63" s="3">
        <v>167297504750.7843</v>
      </c>
      <c r="O63" s="3">
        <v>1977478</v>
      </c>
      <c r="P63" s="10">
        <v>167.2975047507843</v>
      </c>
      <c r="Q63" s="10">
        <v>629.81781161649315</v>
      </c>
      <c r="R63" s="3">
        <f t="shared" si="0"/>
        <v>27792851104446.93</v>
      </c>
      <c r="S63" s="2">
        <f t="shared" si="1"/>
        <v>0.601944378149877</v>
      </c>
      <c r="T63" s="11">
        <f t="shared" si="2"/>
        <v>6.0194437814987704E-3</v>
      </c>
    </row>
    <row r="64" spans="1:20" x14ac:dyDescent="0.3">
      <c r="A64" t="s">
        <v>26</v>
      </c>
      <c r="B64" s="3">
        <v>13</v>
      </c>
      <c r="C64">
        <v>2015</v>
      </c>
      <c r="D64" s="2">
        <v>28105.21128828678</v>
      </c>
      <c r="E64" s="2">
        <v>28105.21128828678</v>
      </c>
      <c r="F64" s="11">
        <v>0.75067976493850852</v>
      </c>
      <c r="G64" s="5">
        <v>0.37240000000000001</v>
      </c>
      <c r="H64">
        <v>0.51100000000000001</v>
      </c>
      <c r="I64" s="4">
        <v>0.48899999999999999</v>
      </c>
      <c r="J64" s="3">
        <v>504008016889</v>
      </c>
      <c r="K64" s="3">
        <v>588584048609.44604</v>
      </c>
      <c r="L64" s="3">
        <v>169218</v>
      </c>
      <c r="M64" s="3">
        <v>134037040200</v>
      </c>
      <c r="N64" s="3">
        <v>156529382749.71494</v>
      </c>
      <c r="O64" s="3">
        <v>1993760</v>
      </c>
      <c r="P64" s="10">
        <v>156.52938274971493</v>
      </c>
      <c r="Q64" s="10">
        <v>588.58404860944609</v>
      </c>
      <c r="R64" s="3">
        <f t="shared" si="0"/>
        <v>28105211288286.781</v>
      </c>
      <c r="S64" s="2">
        <f t="shared" si="1"/>
        <v>0.5569407792175205</v>
      </c>
      <c r="T64" s="11">
        <f t="shared" si="2"/>
        <v>5.569407792175205E-3</v>
      </c>
    </row>
    <row r="65" spans="1:20" x14ac:dyDescent="0.3">
      <c r="A65" t="s">
        <v>26</v>
      </c>
      <c r="B65" s="3">
        <v>13</v>
      </c>
      <c r="C65">
        <v>2016</v>
      </c>
      <c r="D65" s="2">
        <v>30917.858845393639</v>
      </c>
      <c r="E65" s="2">
        <v>29284.661306104183</v>
      </c>
      <c r="F65" s="11">
        <v>0.73120000000000007</v>
      </c>
      <c r="G65" s="5">
        <v>0.38409999999999994</v>
      </c>
      <c r="H65">
        <v>0.50800000000000001</v>
      </c>
      <c r="I65" s="4">
        <v>0.48</v>
      </c>
      <c r="J65" s="3">
        <v>575362942589</v>
      </c>
      <c r="K65" s="3">
        <v>647784038513.99878</v>
      </c>
      <c r="L65" s="3">
        <v>163620</v>
      </c>
      <c r="M65" s="3">
        <v>134738892550</v>
      </c>
      <c r="N65" s="3">
        <v>151698514972.47162</v>
      </c>
      <c r="O65" s="3">
        <v>2013010</v>
      </c>
      <c r="P65" s="10">
        <v>151.69851497247163</v>
      </c>
      <c r="Q65" s="10">
        <v>647.78403851399878</v>
      </c>
      <c r="R65" s="3">
        <f t="shared" si="0"/>
        <v>29284661306104.184</v>
      </c>
      <c r="S65" s="2">
        <f t="shared" si="1"/>
        <v>0.51801355455953702</v>
      </c>
      <c r="T65" s="11">
        <f t="shared" si="2"/>
        <v>5.1801355455953699E-3</v>
      </c>
    </row>
    <row r="66" spans="1:20" x14ac:dyDescent="0.3">
      <c r="A66" t="s">
        <v>26</v>
      </c>
      <c r="B66" s="3">
        <v>13</v>
      </c>
      <c r="C66">
        <v>2017</v>
      </c>
      <c r="D66" s="2">
        <v>33393.780519983789</v>
      </c>
      <c r="E66" s="2">
        <v>30271.190343724826</v>
      </c>
      <c r="F66" s="11">
        <v>0.70591232419180738</v>
      </c>
      <c r="G66" s="5">
        <v>0.37060000000000004</v>
      </c>
      <c r="H66">
        <v>0.49700000000000005</v>
      </c>
      <c r="I66" s="4">
        <v>0.46100000000000002</v>
      </c>
      <c r="J66" s="3">
        <v>634653781461</v>
      </c>
      <c r="K66" s="3">
        <v>697540240936.83521</v>
      </c>
      <c r="L66" s="3">
        <v>165417</v>
      </c>
      <c r="M66" s="3">
        <v>130401067600</v>
      </c>
      <c r="N66" s="3">
        <v>143322225076.37274</v>
      </c>
      <c r="O66" s="3">
        <v>2035711</v>
      </c>
      <c r="P66" s="10">
        <v>143.32222507637275</v>
      </c>
      <c r="Q66" s="10">
        <v>697.54024093683518</v>
      </c>
      <c r="R66" s="3">
        <f t="shared" si="0"/>
        <v>30271190343724.824</v>
      </c>
      <c r="S66" s="2">
        <f t="shared" si="1"/>
        <v>0.47346081686570757</v>
      </c>
      <c r="T66" s="11">
        <f t="shared" si="2"/>
        <v>4.7346081686570757E-3</v>
      </c>
    </row>
    <row r="67" spans="1:20" x14ac:dyDescent="0.3">
      <c r="A67" t="s">
        <v>26</v>
      </c>
      <c r="B67" s="3">
        <v>13</v>
      </c>
      <c r="C67">
        <v>2018</v>
      </c>
      <c r="D67" s="2">
        <v>35459.10028520145</v>
      </c>
      <c r="E67" s="2">
        <v>30800.766216494714</v>
      </c>
      <c r="F67" s="11">
        <v>0.70621570101845832</v>
      </c>
      <c r="G67" s="5">
        <v>0.36070000000000002</v>
      </c>
      <c r="H67">
        <v>0.504</v>
      </c>
      <c r="I67" s="4">
        <v>0.47199999999999998</v>
      </c>
      <c r="J67" s="3">
        <v>654567298271</v>
      </c>
      <c r="K67" s="3">
        <v>705793305470.30969</v>
      </c>
      <c r="L67" s="3">
        <v>158580</v>
      </c>
      <c r="M67" s="3">
        <v>123363310900</v>
      </c>
      <c r="N67" s="3">
        <v>133017642653.18475</v>
      </c>
      <c r="O67" s="3">
        <v>2070110</v>
      </c>
      <c r="P67" s="10">
        <v>133.01764265318477</v>
      </c>
      <c r="Q67" s="10">
        <v>705.79330547030975</v>
      </c>
      <c r="R67" s="3">
        <f t="shared" ref="R67:R130" si="3">E67*1000000000</f>
        <v>30800766216494.715</v>
      </c>
      <c r="S67" s="2">
        <f t="shared" ref="S67:S130" si="4">(N67/R67)*100</f>
        <v>0.43186471959242978</v>
      </c>
      <c r="T67" s="11">
        <f t="shared" ref="T67:T130" si="5">S67/100</f>
        <v>4.3186471959242977E-3</v>
      </c>
    </row>
    <row r="68" spans="1:20" x14ac:dyDescent="0.3">
      <c r="A68" t="s">
        <v>27</v>
      </c>
      <c r="B68" s="3">
        <v>52</v>
      </c>
      <c r="C68">
        <v>2008</v>
      </c>
      <c r="D68" s="2">
        <v>6915.3387053161696</v>
      </c>
      <c r="E68" s="2">
        <v>9031.2597346330876</v>
      </c>
      <c r="F68" s="11">
        <v>0.60439811627065576</v>
      </c>
      <c r="G68" s="5">
        <v>0.17499999999999999</v>
      </c>
      <c r="H68">
        <v>0.55500000000000005</v>
      </c>
      <c r="I68" s="4">
        <v>0.52300000000000002</v>
      </c>
      <c r="J68" s="3">
        <v>358863323801</v>
      </c>
      <c r="K68" s="3">
        <v>580090786467.74817</v>
      </c>
      <c r="L68" s="3">
        <v>95250</v>
      </c>
      <c r="M68" s="3">
        <v>56138105000</v>
      </c>
      <c r="N68" s="3">
        <v>90745404504.800735</v>
      </c>
      <c r="O68" s="3">
        <v>1549573</v>
      </c>
      <c r="P68" s="10">
        <v>90.745404504800732</v>
      </c>
      <c r="Q68" s="10">
        <v>580.09078646774822</v>
      </c>
      <c r="R68" s="3">
        <f t="shared" si="3"/>
        <v>9031259734633.0879</v>
      </c>
      <c r="S68" s="2">
        <f t="shared" si="4"/>
        <v>1.0047923232327172</v>
      </c>
      <c r="T68" s="11">
        <f t="shared" si="5"/>
        <v>1.0047923232327172E-2</v>
      </c>
    </row>
    <row r="69" spans="1:20" x14ac:dyDescent="0.3">
      <c r="A69" t="s">
        <v>27</v>
      </c>
      <c r="B69" s="3">
        <v>52</v>
      </c>
      <c r="C69">
        <v>2009</v>
      </c>
      <c r="D69" s="2">
        <v>7418.0092565954346</v>
      </c>
      <c r="E69" s="2">
        <v>9238.6705553103584</v>
      </c>
      <c r="F69" s="11">
        <v>0.56244465633858898</v>
      </c>
      <c r="G69" s="5">
        <v>0.18460000000000001</v>
      </c>
      <c r="H69">
        <v>0.54400000000000004</v>
      </c>
      <c r="I69" s="4">
        <v>0.51300000000000001</v>
      </c>
      <c r="J69" s="3">
        <v>401225953012</v>
      </c>
      <c r="K69" s="3">
        <v>614769600114.38477</v>
      </c>
      <c r="L69" s="3">
        <v>135370</v>
      </c>
      <c r="M69" s="3">
        <v>76217466000</v>
      </c>
      <c r="N69" s="3">
        <v>116782528006.48299</v>
      </c>
      <c r="O69" s="3">
        <v>1559747</v>
      </c>
      <c r="P69" s="10">
        <v>116.78252800648299</v>
      </c>
      <c r="Q69" s="10">
        <v>614.76960011438473</v>
      </c>
      <c r="R69" s="3">
        <f t="shared" si="3"/>
        <v>9238670555310.3574</v>
      </c>
      <c r="S69" s="2">
        <f t="shared" si="4"/>
        <v>1.2640620455868163</v>
      </c>
      <c r="T69" s="11">
        <f t="shared" si="5"/>
        <v>1.2640620455868163E-2</v>
      </c>
    </row>
    <row r="70" spans="1:20" x14ac:dyDescent="0.3">
      <c r="A70" t="s">
        <v>27</v>
      </c>
      <c r="B70" s="3">
        <v>52</v>
      </c>
      <c r="C70">
        <v>2010</v>
      </c>
      <c r="D70" s="2">
        <v>7703.6064026320746</v>
      </c>
      <c r="E70" s="2">
        <v>9259.4116373780871</v>
      </c>
      <c r="F70" s="11">
        <v>0.72437920490333818</v>
      </c>
      <c r="G70" s="5">
        <v>0.18239999999999998</v>
      </c>
      <c r="H70">
        <v>0.54700000000000004</v>
      </c>
      <c r="I70" s="4">
        <v>0.496</v>
      </c>
      <c r="J70" s="3">
        <v>381416545520</v>
      </c>
      <c r="K70" s="3">
        <v>557385177698.07385</v>
      </c>
      <c r="L70" s="3">
        <v>128705</v>
      </c>
      <c r="M70" s="3">
        <v>80591940000</v>
      </c>
      <c r="N70" s="3">
        <v>117773477122.47327</v>
      </c>
      <c r="O70" s="3">
        <v>1569413</v>
      </c>
      <c r="P70" s="10">
        <v>117.77347712247327</v>
      </c>
      <c r="Q70" s="10">
        <v>557.3851776980739</v>
      </c>
      <c r="R70" s="3">
        <f t="shared" si="3"/>
        <v>9259411637378.0879</v>
      </c>
      <c r="S70" s="2">
        <f t="shared" si="4"/>
        <v>1.2719326209351054</v>
      </c>
      <c r="T70" s="11">
        <f t="shared" si="5"/>
        <v>1.2719326209351053E-2</v>
      </c>
    </row>
    <row r="71" spans="1:20" x14ac:dyDescent="0.3">
      <c r="A71" t="s">
        <v>27</v>
      </c>
      <c r="B71" s="3">
        <v>52</v>
      </c>
      <c r="C71">
        <v>2011</v>
      </c>
      <c r="D71" s="2">
        <v>8552.7433335372225</v>
      </c>
      <c r="E71" s="2">
        <v>9828.309888378597</v>
      </c>
      <c r="F71" s="11">
        <v>0.67366726150775236</v>
      </c>
      <c r="G71" s="5">
        <v>0.21429999999999999</v>
      </c>
      <c r="H71">
        <v>0.53500000000000003</v>
      </c>
      <c r="I71" s="4">
        <v>0.501</v>
      </c>
      <c r="J71" s="3">
        <v>430220915608</v>
      </c>
      <c r="K71" s="3">
        <v>601731541233.90466</v>
      </c>
      <c r="L71" s="3">
        <v>122217</v>
      </c>
      <c r="M71" s="3">
        <v>66308565000</v>
      </c>
      <c r="N71" s="3">
        <v>92742945698.190506</v>
      </c>
      <c r="O71" s="3">
        <v>1578559</v>
      </c>
      <c r="P71" s="10">
        <v>92.74294569819051</v>
      </c>
      <c r="Q71" s="10">
        <v>601.73154123390464</v>
      </c>
      <c r="R71" s="3">
        <f t="shared" si="3"/>
        <v>9828309888378.5977</v>
      </c>
      <c r="S71" s="2">
        <f t="shared" si="4"/>
        <v>0.94363066235684745</v>
      </c>
      <c r="T71" s="11">
        <f t="shared" si="5"/>
        <v>9.4363066235684748E-3</v>
      </c>
    </row>
    <row r="72" spans="1:20" x14ac:dyDescent="0.3">
      <c r="A72" t="s">
        <v>27</v>
      </c>
      <c r="B72" s="3">
        <v>52</v>
      </c>
      <c r="C72">
        <v>2012</v>
      </c>
      <c r="D72" s="2">
        <v>9342.6607118842567</v>
      </c>
      <c r="E72" s="2">
        <v>10376.46705731138</v>
      </c>
      <c r="F72" s="11">
        <v>0.66902047980539947</v>
      </c>
      <c r="G72" s="5">
        <v>0.2223</v>
      </c>
      <c r="H72">
        <v>0.52700000000000002</v>
      </c>
      <c r="I72" s="4">
        <v>0.502</v>
      </c>
      <c r="J72" s="3">
        <v>459395619109</v>
      </c>
      <c r="K72" s="3">
        <v>607943594147.69141</v>
      </c>
      <c r="L72" s="3">
        <v>114956</v>
      </c>
      <c r="M72" s="3">
        <v>58447570000</v>
      </c>
      <c r="N72" s="3">
        <v>77346897308.065033</v>
      </c>
      <c r="O72" s="3">
        <v>1586945</v>
      </c>
      <c r="P72" s="10">
        <v>77.346897308065039</v>
      </c>
      <c r="Q72" s="10">
        <v>607.94359414769144</v>
      </c>
      <c r="R72" s="3">
        <f t="shared" si="3"/>
        <v>10376467057311.381</v>
      </c>
      <c r="S72" s="2">
        <f t="shared" si="4"/>
        <v>0.74540686035875281</v>
      </c>
      <c r="T72" s="11">
        <f t="shared" si="5"/>
        <v>7.4540686035875284E-3</v>
      </c>
    </row>
    <row r="73" spans="1:20" x14ac:dyDescent="0.3">
      <c r="A73" t="s">
        <v>27</v>
      </c>
      <c r="B73" s="3">
        <v>52</v>
      </c>
      <c r="C73">
        <v>2013</v>
      </c>
      <c r="D73" s="2">
        <v>10148.914629847774</v>
      </c>
      <c r="E73" s="2">
        <v>11037.218671754681</v>
      </c>
      <c r="F73" s="11">
        <v>0.67439830230911735</v>
      </c>
      <c r="G73" s="5">
        <v>0.22760000000000002</v>
      </c>
      <c r="H73">
        <v>0.52800000000000002</v>
      </c>
      <c r="I73" s="4">
        <v>0.52</v>
      </c>
      <c r="J73" s="3">
        <v>479013979069</v>
      </c>
      <c r="K73" s="3">
        <v>588708180275.80103</v>
      </c>
      <c r="L73" s="3">
        <v>164771</v>
      </c>
      <c r="M73" s="3">
        <v>108823510000</v>
      </c>
      <c r="N73" s="3">
        <v>133744093790.00002</v>
      </c>
      <c r="O73" s="3">
        <v>1594354</v>
      </c>
      <c r="P73" s="10">
        <v>133.74409379000002</v>
      </c>
      <c r="Q73" s="10">
        <v>588.70818027580106</v>
      </c>
      <c r="R73" s="3">
        <f t="shared" si="3"/>
        <v>11037218671754.682</v>
      </c>
      <c r="S73" s="2">
        <f t="shared" si="4"/>
        <v>1.2117554047584849</v>
      </c>
      <c r="T73" s="11">
        <f t="shared" si="5"/>
        <v>1.2117554047584848E-2</v>
      </c>
    </row>
    <row r="74" spans="1:20" x14ac:dyDescent="0.3">
      <c r="A74" t="s">
        <v>27</v>
      </c>
      <c r="B74" s="3">
        <v>52</v>
      </c>
      <c r="C74">
        <v>2014</v>
      </c>
      <c r="D74" s="2">
        <v>10991.226702379536</v>
      </c>
      <c r="E74" s="2">
        <v>11569.079276205677</v>
      </c>
      <c r="F74" s="11">
        <v>0.63566831305831561</v>
      </c>
      <c r="G74" s="5">
        <v>0.23559999999999998</v>
      </c>
      <c r="H74">
        <v>0.52700000000000002</v>
      </c>
      <c r="I74" s="4">
        <v>0.496</v>
      </c>
      <c r="J74" s="3">
        <v>505565288023</v>
      </c>
      <c r="K74" s="3">
        <v>609156606843.39905</v>
      </c>
      <c r="L74" s="3">
        <v>164817</v>
      </c>
      <c r="M74" s="3">
        <v>119862068600</v>
      </c>
      <c r="N74" s="3">
        <v>144422041479.80392</v>
      </c>
      <c r="O74" s="3">
        <v>1601466</v>
      </c>
      <c r="P74" s="10">
        <v>144.42204147980394</v>
      </c>
      <c r="Q74" s="10">
        <v>609.156606843399</v>
      </c>
      <c r="R74" s="3">
        <f t="shared" si="3"/>
        <v>11569079276205.678</v>
      </c>
      <c r="S74" s="2">
        <f t="shared" si="4"/>
        <v>1.2483451624092436</v>
      </c>
      <c r="T74" s="11">
        <f t="shared" si="5"/>
        <v>1.2483451624092437E-2</v>
      </c>
    </row>
    <row r="75" spans="1:20" x14ac:dyDescent="0.3">
      <c r="A75" t="s">
        <v>27</v>
      </c>
      <c r="B75" s="3">
        <v>52</v>
      </c>
      <c r="C75">
        <v>2015</v>
      </c>
      <c r="D75" s="2">
        <v>12229.742977637798</v>
      </c>
      <c r="E75" s="2">
        <v>12229.742977637798</v>
      </c>
      <c r="F75" s="11">
        <v>0.70326225368682538</v>
      </c>
      <c r="G75" s="5">
        <v>0.2316</v>
      </c>
      <c r="H75">
        <v>0.51100000000000001</v>
      </c>
      <c r="I75" s="4">
        <v>0.497</v>
      </c>
      <c r="J75" s="3">
        <v>487590727107</v>
      </c>
      <c r="K75" s="3">
        <v>569411824035.06555</v>
      </c>
      <c r="L75" s="3">
        <v>155777</v>
      </c>
      <c r="M75" s="3">
        <v>115921022500</v>
      </c>
      <c r="N75" s="3">
        <v>135373371961.70657</v>
      </c>
      <c r="O75" s="3">
        <v>1608726</v>
      </c>
      <c r="P75" s="10">
        <v>135.37337196170657</v>
      </c>
      <c r="Q75" s="10">
        <v>569.41182403506559</v>
      </c>
      <c r="R75" s="3">
        <f t="shared" si="3"/>
        <v>12229742977637.797</v>
      </c>
      <c r="S75" s="2">
        <f t="shared" si="4"/>
        <v>1.106919190446096</v>
      </c>
      <c r="T75" s="11">
        <f t="shared" si="5"/>
        <v>1.106919190446096E-2</v>
      </c>
    </row>
    <row r="76" spans="1:20" x14ac:dyDescent="0.3">
      <c r="A76" t="s">
        <v>27</v>
      </c>
      <c r="B76" s="3">
        <v>52</v>
      </c>
      <c r="C76">
        <v>2016</v>
      </c>
      <c r="D76" s="2">
        <v>13892.975264616009</v>
      </c>
      <c r="E76" s="2">
        <v>12760.121721508736</v>
      </c>
      <c r="F76" s="11">
        <v>0.74549999999999994</v>
      </c>
      <c r="G76" s="5">
        <v>0.24600000000000002</v>
      </c>
      <c r="H76">
        <v>0.50800000000000001</v>
      </c>
      <c r="I76" s="4">
        <v>0.51900000000000002</v>
      </c>
      <c r="J76" s="3">
        <v>541202918389</v>
      </c>
      <c r="K76" s="3">
        <v>609324282429.53564</v>
      </c>
      <c r="L76" s="3">
        <v>151496</v>
      </c>
      <c r="M76" s="3">
        <v>117409024950</v>
      </c>
      <c r="N76" s="3">
        <v>132187332047.95715</v>
      </c>
      <c r="O76" s="3">
        <v>1615767</v>
      </c>
      <c r="P76" s="10">
        <v>132.18733204795714</v>
      </c>
      <c r="Q76" s="10">
        <v>609.32428242953563</v>
      </c>
      <c r="R76" s="3">
        <f t="shared" si="3"/>
        <v>12760121721508.736</v>
      </c>
      <c r="S76" s="2">
        <f t="shared" si="4"/>
        <v>1.0359409959635364</v>
      </c>
      <c r="T76" s="11">
        <f t="shared" si="5"/>
        <v>1.0359409959635364E-2</v>
      </c>
    </row>
    <row r="77" spans="1:20" x14ac:dyDescent="0.3">
      <c r="A77" t="s">
        <v>27</v>
      </c>
      <c r="B77" s="3">
        <v>52</v>
      </c>
      <c r="C77">
        <v>2017</v>
      </c>
      <c r="D77" s="2">
        <v>14061.814833181741</v>
      </c>
      <c r="E77" s="2">
        <v>12441.297566717831</v>
      </c>
      <c r="F77" s="11">
        <v>0.79693140771559068</v>
      </c>
      <c r="G77" s="5">
        <v>0.2515</v>
      </c>
      <c r="H77">
        <v>0.49700000000000005</v>
      </c>
      <c r="I77" s="4">
        <v>0.50800000000000001</v>
      </c>
      <c r="J77" s="3">
        <v>591871780908</v>
      </c>
      <c r="K77" s="3">
        <v>650519065226.19568</v>
      </c>
      <c r="L77" s="3">
        <v>149660</v>
      </c>
      <c r="M77" s="3">
        <v>107463243050</v>
      </c>
      <c r="N77" s="3">
        <v>118111541502.81703</v>
      </c>
      <c r="O77" s="3">
        <v>1621984</v>
      </c>
      <c r="P77" s="10">
        <v>118.11154150281703</v>
      </c>
      <c r="Q77" s="10">
        <v>650.51906522619572</v>
      </c>
      <c r="R77" s="3">
        <f t="shared" si="3"/>
        <v>12441297566717.83</v>
      </c>
      <c r="S77" s="2">
        <f t="shared" si="4"/>
        <v>0.94935066756044428</v>
      </c>
      <c r="T77" s="11">
        <f t="shared" si="5"/>
        <v>9.4935066756044427E-3</v>
      </c>
    </row>
    <row r="78" spans="1:20" x14ac:dyDescent="0.3">
      <c r="A78" t="s">
        <v>27</v>
      </c>
      <c r="B78" s="3">
        <v>52</v>
      </c>
      <c r="C78">
        <v>2018</v>
      </c>
      <c r="D78" s="2">
        <v>14746.779037640599</v>
      </c>
      <c r="E78" s="2">
        <v>12613.172882041876</v>
      </c>
      <c r="F78" s="11">
        <v>0.76732799510847105</v>
      </c>
      <c r="G78" s="5">
        <v>0.2397</v>
      </c>
      <c r="H78">
        <v>0.504</v>
      </c>
      <c r="I78" s="4">
        <v>0.51200000000000001</v>
      </c>
      <c r="J78" s="3">
        <v>613403394449</v>
      </c>
      <c r="K78" s="3">
        <v>661407941549.23755</v>
      </c>
      <c r="L78" s="3">
        <v>142182</v>
      </c>
      <c r="M78" s="3">
        <v>103079077400</v>
      </c>
      <c r="N78" s="3">
        <v>111145978351.11423</v>
      </c>
      <c r="O78" s="3">
        <v>1630592</v>
      </c>
      <c r="P78" s="10">
        <v>111.14597835111422</v>
      </c>
      <c r="Q78" s="10">
        <v>661.40794154923753</v>
      </c>
      <c r="R78" s="3">
        <f t="shared" si="3"/>
        <v>12613172882041.875</v>
      </c>
      <c r="S78" s="2">
        <f t="shared" si="4"/>
        <v>0.88118968470938319</v>
      </c>
      <c r="T78" s="11">
        <f t="shared" si="5"/>
        <v>8.8118968470938322E-3</v>
      </c>
    </row>
    <row r="79" spans="1:20" x14ac:dyDescent="0.3">
      <c r="A79" t="s">
        <v>28</v>
      </c>
      <c r="B79" s="3">
        <v>73</v>
      </c>
      <c r="C79">
        <v>2008</v>
      </c>
      <c r="D79" s="2">
        <v>11345.134775431736</v>
      </c>
      <c r="E79" s="2">
        <v>14863.217037010119</v>
      </c>
      <c r="F79" s="11">
        <v>0.56228028473575153</v>
      </c>
      <c r="G79" s="5">
        <v>0.26860000000000001</v>
      </c>
      <c r="H79">
        <v>0.55500000000000005</v>
      </c>
      <c r="I79" s="4">
        <v>0.51500000000000001</v>
      </c>
      <c r="J79" s="3">
        <v>319558110637</v>
      </c>
      <c r="K79" s="3">
        <v>516555199227.76929</v>
      </c>
      <c r="L79" s="3">
        <v>72878</v>
      </c>
      <c r="M79" s="3">
        <v>43300116000</v>
      </c>
      <c r="N79" s="3">
        <v>69993216577.666702</v>
      </c>
      <c r="O79" s="3">
        <v>1309513</v>
      </c>
      <c r="P79" s="10">
        <v>69.993216577666701</v>
      </c>
      <c r="Q79" s="10">
        <v>516.55519922776932</v>
      </c>
      <c r="R79" s="3">
        <f t="shared" si="3"/>
        <v>14863217037010.119</v>
      </c>
      <c r="S79" s="2">
        <f t="shared" si="4"/>
        <v>0.47091565980218314</v>
      </c>
      <c r="T79" s="11">
        <f t="shared" si="5"/>
        <v>4.7091565980218316E-3</v>
      </c>
    </row>
    <row r="80" spans="1:20" x14ac:dyDescent="0.3">
      <c r="A80" t="s">
        <v>28</v>
      </c>
      <c r="B80" s="3">
        <v>73</v>
      </c>
      <c r="C80">
        <v>2009</v>
      </c>
      <c r="D80" s="2">
        <v>11432.051267468467</v>
      </c>
      <c r="E80" s="2">
        <v>14816.869370980732</v>
      </c>
      <c r="F80" s="11">
        <v>0.51384551490623687</v>
      </c>
      <c r="G80" s="5">
        <v>0.25239999999999996</v>
      </c>
      <c r="H80">
        <v>0.54400000000000004</v>
      </c>
      <c r="I80" s="4">
        <v>0.54100000000000004</v>
      </c>
      <c r="J80" s="3">
        <v>339078339190</v>
      </c>
      <c r="K80" s="3">
        <v>519545292188.6424</v>
      </c>
      <c r="L80" s="3">
        <v>102687</v>
      </c>
      <c r="M80" s="3">
        <v>58490135000</v>
      </c>
      <c r="N80" s="3">
        <v>89620216824.585464</v>
      </c>
      <c r="O80" s="3">
        <v>1311076</v>
      </c>
      <c r="P80" s="10">
        <v>89.620216824585469</v>
      </c>
      <c r="Q80" s="10">
        <v>519.54529218864241</v>
      </c>
      <c r="R80" s="3">
        <f t="shared" si="3"/>
        <v>14816869370980.732</v>
      </c>
      <c r="S80" s="2">
        <f t="shared" si="4"/>
        <v>0.60485258107295758</v>
      </c>
      <c r="T80" s="11">
        <f t="shared" si="5"/>
        <v>6.0485258107295763E-3</v>
      </c>
    </row>
    <row r="81" spans="1:20" x14ac:dyDescent="0.3">
      <c r="A81" t="s">
        <v>28</v>
      </c>
      <c r="B81" s="3">
        <v>73</v>
      </c>
      <c r="C81">
        <v>2010</v>
      </c>
      <c r="D81" s="2">
        <v>11964.982485524186</v>
      </c>
      <c r="E81" s="2">
        <v>14820.06576174138</v>
      </c>
      <c r="F81" s="11">
        <v>0.71311135751306665</v>
      </c>
      <c r="G81" s="5">
        <v>0.25640000000000002</v>
      </c>
      <c r="H81">
        <v>0.54700000000000004</v>
      </c>
      <c r="I81" s="4">
        <v>0.54900000000000004</v>
      </c>
      <c r="J81" s="3">
        <v>354937266877</v>
      </c>
      <c r="K81" s="3">
        <v>518689537445.69928</v>
      </c>
      <c r="L81" s="3">
        <v>96477</v>
      </c>
      <c r="M81" s="3">
        <v>63497725000</v>
      </c>
      <c r="N81" s="3">
        <v>92792751516.052338</v>
      </c>
      <c r="O81" s="3">
        <v>1312768</v>
      </c>
      <c r="P81" s="10">
        <v>92.792751516052334</v>
      </c>
      <c r="Q81" s="10">
        <v>518.68953744569933</v>
      </c>
      <c r="R81" s="3">
        <f t="shared" si="3"/>
        <v>14820065761741.381</v>
      </c>
      <c r="S81" s="2">
        <f t="shared" si="4"/>
        <v>0.62612914819582444</v>
      </c>
      <c r="T81" s="11">
        <f t="shared" si="5"/>
        <v>6.2612914819582446E-3</v>
      </c>
    </row>
    <row r="82" spans="1:20" x14ac:dyDescent="0.3">
      <c r="A82" t="s">
        <v>28</v>
      </c>
      <c r="B82" s="3">
        <v>73</v>
      </c>
      <c r="C82">
        <v>2011</v>
      </c>
      <c r="D82" s="2">
        <v>13517.517617762327</v>
      </c>
      <c r="E82" s="2">
        <v>15312.309938881068</v>
      </c>
      <c r="F82" s="11">
        <v>0.64849551708551811</v>
      </c>
      <c r="G82" s="5">
        <v>0.3075</v>
      </c>
      <c r="H82">
        <v>0.53500000000000003</v>
      </c>
      <c r="I82" s="4">
        <v>0.53100000000000003</v>
      </c>
      <c r="J82" s="3">
        <v>381436373965</v>
      </c>
      <c r="K82" s="3">
        <v>533498695348.79364</v>
      </c>
      <c r="L82" s="3">
        <v>88410</v>
      </c>
      <c r="M82" s="3">
        <v>51750960000</v>
      </c>
      <c r="N82" s="3">
        <v>72381848002.731308</v>
      </c>
      <c r="O82" s="3">
        <v>1314479</v>
      </c>
      <c r="P82" s="10">
        <v>72.381848002731303</v>
      </c>
      <c r="Q82" s="10">
        <v>533.4986953487936</v>
      </c>
      <c r="R82" s="3">
        <f t="shared" si="3"/>
        <v>15312309938881.068</v>
      </c>
      <c r="S82" s="2">
        <f t="shared" si="4"/>
        <v>0.47270365014581556</v>
      </c>
      <c r="T82" s="11">
        <f t="shared" si="5"/>
        <v>4.7270365014581558E-3</v>
      </c>
    </row>
    <row r="83" spans="1:20" x14ac:dyDescent="0.3">
      <c r="A83" t="s">
        <v>28</v>
      </c>
      <c r="B83" s="3">
        <v>73</v>
      </c>
      <c r="C83">
        <v>2012</v>
      </c>
      <c r="D83" s="2">
        <v>14387.03047853898</v>
      </c>
      <c r="E83" s="2">
        <v>15830.125242105936</v>
      </c>
      <c r="F83" s="11">
        <v>0.65414819839366134</v>
      </c>
      <c r="G83" s="5">
        <v>0.32850000000000001</v>
      </c>
      <c r="H83">
        <v>0.52700000000000002</v>
      </c>
      <c r="I83" s="4">
        <v>0.52300000000000002</v>
      </c>
      <c r="J83" s="3">
        <v>399394235595</v>
      </c>
      <c r="K83" s="3">
        <v>528540449602.94501</v>
      </c>
      <c r="L83" s="3">
        <v>78633</v>
      </c>
      <c r="M83" s="3">
        <v>43022375000</v>
      </c>
      <c r="N83" s="3">
        <v>56933884865.941643</v>
      </c>
      <c r="O83" s="3">
        <v>1316054</v>
      </c>
      <c r="P83" s="10">
        <v>56.933884865941643</v>
      </c>
      <c r="Q83" s="10">
        <v>528.54044960294505</v>
      </c>
      <c r="R83" s="3">
        <f t="shared" si="3"/>
        <v>15830125242105.936</v>
      </c>
      <c r="S83" s="2">
        <f t="shared" si="4"/>
        <v>0.35965530275468333</v>
      </c>
      <c r="T83" s="11">
        <f t="shared" si="5"/>
        <v>3.5965530275468335E-3</v>
      </c>
    </row>
    <row r="84" spans="1:20" x14ac:dyDescent="0.3">
      <c r="A84" t="s">
        <v>28</v>
      </c>
      <c r="B84" s="3">
        <v>73</v>
      </c>
      <c r="C84">
        <v>2013</v>
      </c>
      <c r="D84" s="2">
        <v>15274.905241838225</v>
      </c>
      <c r="E84" s="2">
        <v>16616.437369225179</v>
      </c>
      <c r="F84" s="11">
        <v>0.62219804745900031</v>
      </c>
      <c r="G84" s="5">
        <v>0.3508</v>
      </c>
      <c r="H84">
        <v>0.52800000000000002</v>
      </c>
      <c r="I84" s="4">
        <v>0.51100000000000001</v>
      </c>
      <c r="J84" s="3">
        <v>429206094612</v>
      </c>
      <c r="K84" s="3">
        <v>527494290278.14801</v>
      </c>
      <c r="L84" s="3">
        <v>103851</v>
      </c>
      <c r="M84" s="3">
        <v>68846940000</v>
      </c>
      <c r="N84" s="3">
        <v>84612889260</v>
      </c>
      <c r="O84" s="3">
        <v>1317507</v>
      </c>
      <c r="P84" s="10">
        <v>84.612889260000003</v>
      </c>
      <c r="Q84" s="10">
        <v>527.49429027814801</v>
      </c>
      <c r="R84" s="3">
        <f t="shared" si="3"/>
        <v>16616437369225.18</v>
      </c>
      <c r="S84" s="2">
        <f t="shared" si="4"/>
        <v>0.50921197715166711</v>
      </c>
      <c r="T84" s="11">
        <f t="shared" si="5"/>
        <v>5.0921197715166708E-3</v>
      </c>
    </row>
    <row r="85" spans="1:20" x14ac:dyDescent="0.3">
      <c r="A85" t="s">
        <v>28</v>
      </c>
      <c r="B85" s="3">
        <v>73</v>
      </c>
      <c r="C85">
        <v>2014</v>
      </c>
      <c r="D85" s="2">
        <v>16560.261699278773</v>
      </c>
      <c r="E85" s="2">
        <v>17182.198533859759</v>
      </c>
      <c r="F85" s="11">
        <v>0.65179125666395865</v>
      </c>
      <c r="G85" s="5">
        <v>0.37819999999999998</v>
      </c>
      <c r="H85">
        <v>0.52700000000000002</v>
      </c>
      <c r="I85" s="4">
        <v>0.51100000000000001</v>
      </c>
      <c r="J85" s="3">
        <v>448429969413</v>
      </c>
      <c r="K85" s="3">
        <v>540314149420.17352</v>
      </c>
      <c r="L85" s="3">
        <v>103219</v>
      </c>
      <c r="M85" s="3">
        <v>75746947000</v>
      </c>
      <c r="N85" s="3">
        <v>91267644963.725479</v>
      </c>
      <c r="O85" s="3">
        <v>1319060</v>
      </c>
      <c r="P85" s="10">
        <v>91.267644963725473</v>
      </c>
      <c r="Q85" s="10">
        <v>540.31414942017352</v>
      </c>
      <c r="R85" s="3">
        <f t="shared" si="3"/>
        <v>17182198533859.758</v>
      </c>
      <c r="S85" s="2">
        <f t="shared" si="4"/>
        <v>0.53117559306436091</v>
      </c>
      <c r="T85" s="11">
        <f t="shared" si="5"/>
        <v>5.3117559306436087E-3</v>
      </c>
    </row>
    <row r="86" spans="1:20" x14ac:dyDescent="0.3">
      <c r="A86" t="s">
        <v>28</v>
      </c>
      <c r="B86" s="3">
        <v>73</v>
      </c>
      <c r="C86">
        <v>2015</v>
      </c>
      <c r="D86" s="2">
        <v>17380.832886711047</v>
      </c>
      <c r="E86" s="2">
        <v>17380.832886711047</v>
      </c>
      <c r="F86" s="11">
        <v>0.62728115598769307</v>
      </c>
      <c r="G86" s="5">
        <v>0.37189999999999995</v>
      </c>
      <c r="H86">
        <v>0.51100000000000001</v>
      </c>
      <c r="I86" s="4">
        <v>0.505</v>
      </c>
      <c r="J86" s="3">
        <v>440746622234</v>
      </c>
      <c r="K86" s="3">
        <v>514706954319.25696</v>
      </c>
      <c r="L86" s="3">
        <v>97856</v>
      </c>
      <c r="M86" s="3">
        <v>74111164750</v>
      </c>
      <c r="N86" s="3">
        <v>86547530860.65184</v>
      </c>
      <c r="O86" s="3">
        <v>1320911</v>
      </c>
      <c r="P86" s="10">
        <v>86.547530860651847</v>
      </c>
      <c r="Q86" s="10">
        <v>514.70695431925697</v>
      </c>
      <c r="R86" s="3">
        <f t="shared" si="3"/>
        <v>17380832886711.047</v>
      </c>
      <c r="S86" s="2">
        <f t="shared" si="4"/>
        <v>0.49794812150126555</v>
      </c>
      <c r="T86" s="11">
        <f t="shared" si="5"/>
        <v>4.9794812150126553E-3</v>
      </c>
    </row>
    <row r="87" spans="1:20" x14ac:dyDescent="0.3">
      <c r="A87" t="s">
        <v>28</v>
      </c>
      <c r="B87" s="3">
        <v>73</v>
      </c>
      <c r="C87">
        <v>2016</v>
      </c>
      <c r="D87" s="2">
        <v>18863.077798235179</v>
      </c>
      <c r="E87" s="2">
        <v>17707.73831455761</v>
      </c>
      <c r="F87" s="11">
        <v>0.63190000000000002</v>
      </c>
      <c r="G87" s="5">
        <v>0.38290000000000002</v>
      </c>
      <c r="H87">
        <v>0.50800000000000001</v>
      </c>
      <c r="I87" s="4">
        <v>0.48699999999999999</v>
      </c>
      <c r="J87" s="3">
        <v>489665949937</v>
      </c>
      <c r="K87" s="3">
        <v>551300341217.08789</v>
      </c>
      <c r="L87" s="3">
        <v>94908</v>
      </c>
      <c r="M87" s="3">
        <v>74449247950</v>
      </c>
      <c r="N87" s="3">
        <v>83820195795.666931</v>
      </c>
      <c r="O87" s="3">
        <v>1323323</v>
      </c>
      <c r="P87" s="10">
        <v>83.820195795666933</v>
      </c>
      <c r="Q87" s="10">
        <v>551.30034121708786</v>
      </c>
      <c r="R87" s="3">
        <f t="shared" si="3"/>
        <v>17707738314557.609</v>
      </c>
      <c r="S87" s="2">
        <f t="shared" si="4"/>
        <v>0.47335348143674555</v>
      </c>
      <c r="T87" s="11">
        <f t="shared" si="5"/>
        <v>4.7335348143674556E-3</v>
      </c>
    </row>
    <row r="88" spans="1:20" x14ac:dyDescent="0.3">
      <c r="A88" t="s">
        <v>28</v>
      </c>
      <c r="B88" s="3">
        <v>73</v>
      </c>
      <c r="C88">
        <v>2017</v>
      </c>
      <c r="D88" s="2">
        <v>19988.03035008489</v>
      </c>
      <c r="E88" s="2">
        <v>17935.715437759769</v>
      </c>
      <c r="F88" s="11">
        <v>0.72464218164692495</v>
      </c>
      <c r="G88" s="5">
        <v>0.4032</v>
      </c>
      <c r="H88">
        <v>0.49700000000000005</v>
      </c>
      <c r="I88" s="4">
        <v>0.48499999999999999</v>
      </c>
      <c r="J88" s="3">
        <v>526105116880</v>
      </c>
      <c r="K88" s="3">
        <v>578235725850.0448</v>
      </c>
      <c r="L88" s="3">
        <v>93966</v>
      </c>
      <c r="M88" s="3">
        <v>71329543200</v>
      </c>
      <c r="N88" s="3">
        <v>78397432116.615997</v>
      </c>
      <c r="O88" s="3">
        <v>1326203</v>
      </c>
      <c r="P88" s="10">
        <v>78.397432116616002</v>
      </c>
      <c r="Q88" s="10">
        <v>578.23572585004479</v>
      </c>
      <c r="R88" s="3">
        <f t="shared" si="3"/>
        <v>17935715437759.77</v>
      </c>
      <c r="S88" s="2">
        <f t="shared" si="4"/>
        <v>0.43710234135164278</v>
      </c>
      <c r="T88" s="11">
        <f t="shared" si="5"/>
        <v>4.3710234135164276E-3</v>
      </c>
    </row>
    <row r="89" spans="1:20" x14ac:dyDescent="0.3">
      <c r="A89" t="s">
        <v>28</v>
      </c>
      <c r="B89" s="3">
        <v>73</v>
      </c>
      <c r="C89">
        <v>2018</v>
      </c>
      <c r="D89" s="2">
        <v>20907.040131653175</v>
      </c>
      <c r="E89" s="2">
        <v>18135.465079754638</v>
      </c>
      <c r="F89" s="11">
        <v>0.71377710525302507</v>
      </c>
      <c r="G89" s="5">
        <v>0.38799999999999996</v>
      </c>
      <c r="H89">
        <v>0.504</v>
      </c>
      <c r="I89" s="4">
        <v>0.48199999999999998</v>
      </c>
      <c r="J89" s="3">
        <v>538930433779</v>
      </c>
      <c r="K89" s="3">
        <v>581106775850.49219</v>
      </c>
      <c r="L89" s="3">
        <v>88794</v>
      </c>
      <c r="M89" s="3">
        <v>66543183600</v>
      </c>
      <c r="N89" s="3">
        <v>71750809479.206879</v>
      </c>
      <c r="O89" s="3">
        <v>1330187</v>
      </c>
      <c r="P89" s="10">
        <v>71.750809479206879</v>
      </c>
      <c r="Q89" s="10">
        <v>581.10677585049223</v>
      </c>
      <c r="R89" s="3">
        <f t="shared" si="3"/>
        <v>18135465079754.637</v>
      </c>
      <c r="S89" s="2">
        <f t="shared" si="4"/>
        <v>0.39563810006342348</v>
      </c>
      <c r="T89" s="11">
        <f t="shared" si="5"/>
        <v>3.956381000634235E-3</v>
      </c>
    </row>
    <row r="90" spans="1:20" x14ac:dyDescent="0.3">
      <c r="A90" t="s">
        <v>29</v>
      </c>
      <c r="B90" s="3">
        <v>15</v>
      </c>
      <c r="C90">
        <v>2008</v>
      </c>
      <c r="D90" s="2">
        <v>12771.129629614044</v>
      </c>
      <c r="E90" s="2">
        <v>16572.751788694164</v>
      </c>
      <c r="F90" s="11">
        <v>0.65835489030257055</v>
      </c>
      <c r="G90" s="5">
        <v>0.36210000000000003</v>
      </c>
      <c r="H90">
        <v>0.55500000000000005</v>
      </c>
      <c r="I90" s="4">
        <v>0.57899999999999996</v>
      </c>
      <c r="J90" s="3">
        <v>362525237868</v>
      </c>
      <c r="K90" s="3">
        <v>586010150387.70483</v>
      </c>
      <c r="L90" s="3">
        <v>54615</v>
      </c>
      <c r="M90" s="3">
        <v>35154095000</v>
      </c>
      <c r="N90" s="3">
        <v>56825440950.940414</v>
      </c>
      <c r="O90" s="3">
        <v>1154747</v>
      </c>
      <c r="P90" s="10">
        <v>56.825440950940411</v>
      </c>
      <c r="Q90" s="10">
        <v>586.01015038770481</v>
      </c>
      <c r="R90" s="3">
        <f t="shared" si="3"/>
        <v>16572751788694.164</v>
      </c>
      <c r="S90" s="2">
        <f t="shared" si="4"/>
        <v>0.34288476455495104</v>
      </c>
      <c r="T90" s="11">
        <f t="shared" si="5"/>
        <v>3.4288476455495102E-3</v>
      </c>
    </row>
    <row r="91" spans="1:20" x14ac:dyDescent="0.3">
      <c r="A91" t="s">
        <v>29</v>
      </c>
      <c r="B91" s="3">
        <v>15</v>
      </c>
      <c r="C91">
        <v>2009</v>
      </c>
      <c r="D91" s="2">
        <v>13261.199689609115</v>
      </c>
      <c r="E91" s="2">
        <v>16725.606538892807</v>
      </c>
      <c r="F91" s="11">
        <v>0.57949618046614848</v>
      </c>
      <c r="G91" s="5">
        <v>0.38450000000000001</v>
      </c>
      <c r="H91">
        <v>0.54400000000000004</v>
      </c>
      <c r="I91" s="4">
        <v>0.53800000000000003</v>
      </c>
      <c r="J91" s="3">
        <v>408050085537</v>
      </c>
      <c r="K91" s="3">
        <v>625225726374.48328</v>
      </c>
      <c r="L91" s="3">
        <v>75033</v>
      </c>
      <c r="M91" s="3">
        <v>43403505000</v>
      </c>
      <c r="N91" s="3">
        <v>66504061395.087898</v>
      </c>
      <c r="O91" s="3">
        <v>1159850</v>
      </c>
      <c r="P91" s="10">
        <v>66.504061395087902</v>
      </c>
      <c r="Q91" s="10">
        <v>625.22572637448332</v>
      </c>
      <c r="R91" s="3">
        <f t="shared" si="3"/>
        <v>16725606538892.807</v>
      </c>
      <c r="S91" s="2">
        <f t="shared" si="4"/>
        <v>0.39761823429507925</v>
      </c>
      <c r="T91" s="11">
        <f t="shared" si="5"/>
        <v>3.9761823429507927E-3</v>
      </c>
    </row>
    <row r="92" spans="1:20" x14ac:dyDescent="0.3">
      <c r="A92" t="s">
        <v>29</v>
      </c>
      <c r="B92" s="3">
        <v>15</v>
      </c>
      <c r="C92">
        <v>2010</v>
      </c>
      <c r="D92" s="2">
        <v>14474.527544591601</v>
      </c>
      <c r="E92" s="2">
        <v>17346.016995581424</v>
      </c>
      <c r="F92" s="11">
        <v>0.74522624755139977</v>
      </c>
      <c r="G92" s="5">
        <v>0.3962</v>
      </c>
      <c r="H92">
        <v>0.54700000000000004</v>
      </c>
      <c r="I92" s="4">
        <v>0.53800000000000003</v>
      </c>
      <c r="J92" s="3">
        <v>423848719667</v>
      </c>
      <c r="K92" s="3">
        <v>619393670000.88354</v>
      </c>
      <c r="L92" s="3">
        <v>71285</v>
      </c>
      <c r="M92" s="3">
        <v>47121850000</v>
      </c>
      <c r="N92" s="3">
        <v>68861776040.42807</v>
      </c>
      <c r="O92" s="3">
        <v>1165204</v>
      </c>
      <c r="P92" s="10">
        <v>68.861776040428069</v>
      </c>
      <c r="Q92" s="10">
        <v>619.3936700008835</v>
      </c>
      <c r="R92" s="3">
        <f t="shared" si="3"/>
        <v>17346016995581.424</v>
      </c>
      <c r="S92" s="2">
        <f t="shared" si="4"/>
        <v>0.39698898057098253</v>
      </c>
      <c r="T92" s="11">
        <f t="shared" si="5"/>
        <v>3.9698898057098251E-3</v>
      </c>
    </row>
    <row r="93" spans="1:20" x14ac:dyDescent="0.3">
      <c r="A93" t="s">
        <v>29</v>
      </c>
      <c r="B93" s="3">
        <v>15</v>
      </c>
      <c r="C93">
        <v>2011</v>
      </c>
      <c r="D93" s="2">
        <v>17260.034051694256</v>
      </c>
      <c r="E93" s="2">
        <v>18968.974784455262</v>
      </c>
      <c r="F93" s="11">
        <v>0.73471270276801248</v>
      </c>
      <c r="G93" s="5">
        <v>0.42330000000000001</v>
      </c>
      <c r="H93">
        <v>0.53500000000000003</v>
      </c>
      <c r="I93" s="4">
        <v>0.53800000000000003</v>
      </c>
      <c r="J93" s="3">
        <v>434514609567</v>
      </c>
      <c r="K93" s="3">
        <v>607736946805.32947</v>
      </c>
      <c r="L93" s="3">
        <v>65247</v>
      </c>
      <c r="M93" s="3">
        <v>38404635000</v>
      </c>
      <c r="N93" s="3">
        <v>53714915687.948105</v>
      </c>
      <c r="O93" s="3">
        <v>1170640</v>
      </c>
      <c r="P93" s="10">
        <v>53.714915687948107</v>
      </c>
      <c r="Q93" s="10">
        <v>607.73694680532947</v>
      </c>
      <c r="R93" s="3">
        <f t="shared" si="3"/>
        <v>18968974784455.262</v>
      </c>
      <c r="S93" s="2">
        <f t="shared" si="4"/>
        <v>0.28317247662728995</v>
      </c>
      <c r="T93" s="11">
        <f t="shared" si="5"/>
        <v>2.8317247662728996E-3</v>
      </c>
    </row>
    <row r="94" spans="1:20" x14ac:dyDescent="0.3">
      <c r="A94" t="s">
        <v>29</v>
      </c>
      <c r="B94" s="3">
        <v>15</v>
      </c>
      <c r="C94">
        <v>2012</v>
      </c>
      <c r="D94" s="2">
        <v>18313.939168534758</v>
      </c>
      <c r="E94" s="2">
        <v>19556.416569532401</v>
      </c>
      <c r="F94" s="11">
        <v>0.73981701145706313</v>
      </c>
      <c r="G94" s="5">
        <v>0.46159999999999995</v>
      </c>
      <c r="H94">
        <v>0.52700000000000002</v>
      </c>
      <c r="I94" s="4">
        <v>0.53200000000000003</v>
      </c>
      <c r="J94" s="3">
        <v>451382137723</v>
      </c>
      <c r="K94" s="3">
        <v>597338911663.14954</v>
      </c>
      <c r="L94" s="3">
        <v>59723</v>
      </c>
      <c r="M94" s="3">
        <v>32546910000</v>
      </c>
      <c r="N94" s="3">
        <v>43071123495.208359</v>
      </c>
      <c r="O94" s="3">
        <v>1176069</v>
      </c>
      <c r="P94" s="10">
        <v>43.071123495208361</v>
      </c>
      <c r="Q94" s="10">
        <v>597.33891166314959</v>
      </c>
      <c r="R94" s="3">
        <f t="shared" si="3"/>
        <v>19556416569532.402</v>
      </c>
      <c r="S94" s="2">
        <f t="shared" si="4"/>
        <v>0.22024036633741126</v>
      </c>
      <c r="T94" s="11">
        <f t="shared" si="5"/>
        <v>2.2024036633741125E-3</v>
      </c>
    </row>
    <row r="95" spans="1:20" x14ac:dyDescent="0.3">
      <c r="A95" t="s">
        <v>29</v>
      </c>
      <c r="B95" s="3">
        <v>15</v>
      </c>
      <c r="C95">
        <v>2013</v>
      </c>
      <c r="D95" s="2">
        <v>19380.059108227397</v>
      </c>
      <c r="E95" s="2">
        <v>20127.374018803806</v>
      </c>
      <c r="F95" s="11">
        <v>0.74511161120019953</v>
      </c>
      <c r="G95" s="5">
        <v>0.48749999999999999</v>
      </c>
      <c r="H95">
        <v>0.52800000000000002</v>
      </c>
      <c r="I95" s="4">
        <v>0.53300000000000003</v>
      </c>
      <c r="J95" s="3">
        <v>453602563107</v>
      </c>
      <c r="K95" s="3">
        <v>557477550058.50305</v>
      </c>
      <c r="L95" s="3">
        <v>70517</v>
      </c>
      <c r="M95" s="3">
        <v>49549770000</v>
      </c>
      <c r="N95" s="3">
        <v>60896667330.000008</v>
      </c>
      <c r="O95" s="3">
        <v>1181580</v>
      </c>
      <c r="P95" s="10">
        <v>60.896667330000007</v>
      </c>
      <c r="Q95" s="10">
        <v>557.47755005850308</v>
      </c>
      <c r="R95" s="3">
        <f t="shared" si="3"/>
        <v>20127374018803.805</v>
      </c>
      <c r="S95" s="2">
        <f t="shared" si="4"/>
        <v>0.30255644513341823</v>
      </c>
      <c r="T95" s="11">
        <f t="shared" si="5"/>
        <v>3.0255644513341824E-3</v>
      </c>
    </row>
    <row r="96" spans="1:20" x14ac:dyDescent="0.3">
      <c r="A96" t="s">
        <v>29</v>
      </c>
      <c r="B96" s="3">
        <v>15</v>
      </c>
      <c r="C96">
        <v>2014</v>
      </c>
      <c r="D96" s="2">
        <v>20839.474104019195</v>
      </c>
      <c r="E96" s="2">
        <v>20986.058056684422</v>
      </c>
      <c r="F96" s="11">
        <v>0.7734177060545282</v>
      </c>
      <c r="G96" s="5">
        <v>0.50800000000000001</v>
      </c>
      <c r="H96">
        <v>0.52700000000000002</v>
      </c>
      <c r="I96" s="4">
        <v>0.52800000000000002</v>
      </c>
      <c r="J96" s="3">
        <v>462197105405</v>
      </c>
      <c r="K96" s="3">
        <v>556902198571.3186</v>
      </c>
      <c r="L96" s="3">
        <v>68842</v>
      </c>
      <c r="M96" s="3">
        <v>52605544200</v>
      </c>
      <c r="N96" s="3">
        <v>63384523354.705879</v>
      </c>
      <c r="O96" s="3">
        <v>1187249</v>
      </c>
      <c r="P96" s="10">
        <v>63.384523354705877</v>
      </c>
      <c r="Q96" s="10">
        <v>556.90219857131865</v>
      </c>
      <c r="R96" s="3">
        <f t="shared" si="3"/>
        <v>20986058056684.422</v>
      </c>
      <c r="S96" s="2">
        <f t="shared" si="4"/>
        <v>0.30203158298476551</v>
      </c>
      <c r="T96" s="11">
        <f t="shared" si="5"/>
        <v>3.020315829847655E-3</v>
      </c>
    </row>
    <row r="97" spans="1:20" x14ac:dyDescent="0.3">
      <c r="A97" t="s">
        <v>29</v>
      </c>
      <c r="B97" s="3">
        <v>15</v>
      </c>
      <c r="C97">
        <v>2015</v>
      </c>
      <c r="D97" s="2">
        <v>22164.683372837735</v>
      </c>
      <c r="E97" s="2">
        <v>22164.683372837735</v>
      </c>
      <c r="F97" s="11">
        <v>0.771919338303928</v>
      </c>
      <c r="G97" s="5">
        <v>0.51990000000000003</v>
      </c>
      <c r="H97">
        <v>0.51100000000000001</v>
      </c>
      <c r="I97" s="4">
        <v>0.53600000000000003</v>
      </c>
      <c r="J97" s="3">
        <v>469529472133</v>
      </c>
      <c r="K97" s="3">
        <v>548319765537.30237</v>
      </c>
      <c r="L97" s="3">
        <v>62514</v>
      </c>
      <c r="M97" s="3">
        <v>48872651050</v>
      </c>
      <c r="N97" s="3">
        <v>57073819973.821739</v>
      </c>
      <c r="O97" s="3">
        <v>1193206</v>
      </c>
      <c r="P97" s="10">
        <v>57.073819973821742</v>
      </c>
      <c r="Q97" s="10">
        <v>548.31976553730237</v>
      </c>
      <c r="R97" s="3">
        <f t="shared" si="3"/>
        <v>22164683372837.734</v>
      </c>
      <c r="S97" s="2">
        <f t="shared" si="4"/>
        <v>0.25749891849916645</v>
      </c>
      <c r="T97" s="11">
        <f t="shared" si="5"/>
        <v>2.5749891849916645E-3</v>
      </c>
    </row>
    <row r="98" spans="1:20" x14ac:dyDescent="0.3">
      <c r="A98" t="s">
        <v>29</v>
      </c>
      <c r="B98" s="3">
        <v>15</v>
      </c>
      <c r="C98">
        <v>2016</v>
      </c>
      <c r="D98" s="2">
        <v>23671.130606445055</v>
      </c>
      <c r="E98" s="2">
        <v>22341.244463173196</v>
      </c>
      <c r="F98" s="11">
        <v>0.68400000000000005</v>
      </c>
      <c r="G98" s="5">
        <v>0.53449999999999998</v>
      </c>
      <c r="H98">
        <v>0.50800000000000001</v>
      </c>
      <c r="I98" s="4">
        <v>0.53</v>
      </c>
      <c r="J98" s="3">
        <v>507053183113</v>
      </c>
      <c r="K98" s="3">
        <v>570876110338.83936</v>
      </c>
      <c r="L98" s="3">
        <v>59695</v>
      </c>
      <c r="M98" s="3">
        <v>47911251200</v>
      </c>
      <c r="N98" s="3">
        <v>53941853906.925621</v>
      </c>
      <c r="O98" s="3">
        <v>1199978</v>
      </c>
      <c r="P98" s="10">
        <v>53.941853906925623</v>
      </c>
      <c r="Q98" s="10">
        <v>570.87611033883934</v>
      </c>
      <c r="R98" s="3">
        <f t="shared" si="3"/>
        <v>22341244463173.195</v>
      </c>
      <c r="S98" s="2">
        <f t="shared" si="4"/>
        <v>0.24144516208952529</v>
      </c>
      <c r="T98" s="11">
        <f t="shared" si="5"/>
        <v>2.4144516208952529E-3</v>
      </c>
    </row>
    <row r="99" spans="1:20" x14ac:dyDescent="0.3">
      <c r="A99" t="s">
        <v>29</v>
      </c>
      <c r="B99" s="3">
        <v>15</v>
      </c>
      <c r="C99">
        <v>2017</v>
      </c>
      <c r="D99" s="2">
        <v>24782.2625694136</v>
      </c>
      <c r="E99" s="2">
        <v>22574.436274817897</v>
      </c>
      <c r="F99" s="11">
        <v>0.76398214732765479</v>
      </c>
      <c r="G99" s="5">
        <v>0.56269999999999998</v>
      </c>
      <c r="H99">
        <v>0.49700000000000005</v>
      </c>
      <c r="I99" s="4">
        <v>0.51400000000000001</v>
      </c>
      <c r="J99" s="3">
        <v>558817297049</v>
      </c>
      <c r="K99" s="3">
        <v>614189284629.95984</v>
      </c>
      <c r="L99" s="3">
        <v>58446</v>
      </c>
      <c r="M99" s="3">
        <v>43695419900</v>
      </c>
      <c r="N99" s="3">
        <v>48025103789.214813</v>
      </c>
      <c r="O99" s="3">
        <v>1207665</v>
      </c>
      <c r="P99" s="10">
        <v>48.02510378921481</v>
      </c>
      <c r="Q99" s="10">
        <v>614.18928462995984</v>
      </c>
      <c r="R99" s="3">
        <f t="shared" si="3"/>
        <v>22574436274817.898</v>
      </c>
      <c r="S99" s="2">
        <f t="shared" si="4"/>
        <v>0.21274109884545597</v>
      </c>
      <c r="T99" s="11">
        <f t="shared" si="5"/>
        <v>2.1274109884545597E-3</v>
      </c>
    </row>
    <row r="100" spans="1:20" x14ac:dyDescent="0.3">
      <c r="A100" t="s">
        <v>29</v>
      </c>
      <c r="B100" s="3">
        <v>15</v>
      </c>
      <c r="C100">
        <v>2018</v>
      </c>
      <c r="D100" s="2">
        <v>26762.191086833787</v>
      </c>
      <c r="E100" s="2">
        <v>23290.889918785335</v>
      </c>
      <c r="F100" s="11">
        <v>0.75949681184029993</v>
      </c>
      <c r="G100" s="5">
        <v>0.55409999999999993</v>
      </c>
      <c r="H100">
        <v>0.504</v>
      </c>
      <c r="I100" s="4">
        <v>0.48299999999999998</v>
      </c>
      <c r="J100" s="3">
        <v>558130498250</v>
      </c>
      <c r="K100" s="3">
        <v>601809424766.84497</v>
      </c>
      <c r="L100" s="3">
        <v>55639</v>
      </c>
      <c r="M100" s="3">
        <v>41559141300</v>
      </c>
      <c r="N100" s="3">
        <v>44811532424.723633</v>
      </c>
      <c r="O100" s="3">
        <v>1217376</v>
      </c>
      <c r="P100" s="10">
        <v>44.81153242472363</v>
      </c>
      <c r="Q100" s="10">
        <v>601.80942476684493</v>
      </c>
      <c r="R100" s="3">
        <f t="shared" si="3"/>
        <v>23290889918785.336</v>
      </c>
      <c r="S100" s="2">
        <f t="shared" si="4"/>
        <v>0.19239939985539478</v>
      </c>
      <c r="T100" s="11">
        <f t="shared" si="5"/>
        <v>1.9239939985539478E-3</v>
      </c>
    </row>
    <row r="101" spans="1:20" x14ac:dyDescent="0.3">
      <c r="A101" t="s">
        <v>30</v>
      </c>
      <c r="B101" s="3">
        <v>17</v>
      </c>
      <c r="C101">
        <v>2008</v>
      </c>
      <c r="D101" s="2">
        <v>8181.2357968604992</v>
      </c>
      <c r="E101" s="2">
        <v>10926.549015400558</v>
      </c>
      <c r="F101" s="11">
        <v>0.63733351817624595</v>
      </c>
      <c r="G101" s="5">
        <v>0.28899999999999998</v>
      </c>
      <c r="H101">
        <v>0.55500000000000005</v>
      </c>
      <c r="I101" s="4">
        <v>0.54700000000000004</v>
      </c>
      <c r="J101" s="3">
        <v>181290557386</v>
      </c>
      <c r="K101" s="3">
        <v>293050236784.68231</v>
      </c>
      <c r="L101" s="3">
        <v>25475</v>
      </c>
      <c r="M101" s="3">
        <v>14105600000</v>
      </c>
      <c r="N101" s="3">
        <v>22801239510.719452</v>
      </c>
      <c r="O101" s="3">
        <v>987759</v>
      </c>
      <c r="P101" s="10">
        <v>22.801239510719451</v>
      </c>
      <c r="Q101" s="10">
        <v>293.05023678468234</v>
      </c>
      <c r="R101" s="3">
        <f t="shared" si="3"/>
        <v>10926549015400.559</v>
      </c>
      <c r="S101" s="2">
        <f t="shared" si="4"/>
        <v>0.20867741021050623</v>
      </c>
      <c r="T101" s="11">
        <f t="shared" si="5"/>
        <v>2.0867741021050623E-3</v>
      </c>
    </row>
    <row r="102" spans="1:20" x14ac:dyDescent="0.3">
      <c r="A102" t="s">
        <v>30</v>
      </c>
      <c r="B102" s="3">
        <v>17</v>
      </c>
      <c r="C102">
        <v>2009</v>
      </c>
      <c r="D102" s="2">
        <v>8363.5619279076545</v>
      </c>
      <c r="E102" s="2">
        <v>10424.105841816947</v>
      </c>
      <c r="F102" s="11">
        <v>0.63536987259811528</v>
      </c>
      <c r="G102" s="5">
        <v>0.3271</v>
      </c>
      <c r="H102">
        <v>0.54400000000000004</v>
      </c>
      <c r="I102" s="4">
        <v>0.54100000000000004</v>
      </c>
      <c r="J102" s="3">
        <v>201876173399</v>
      </c>
      <c r="K102" s="3">
        <v>309320305582.06085</v>
      </c>
      <c r="L102" s="3">
        <v>42156</v>
      </c>
      <c r="M102" s="3">
        <v>20685950000</v>
      </c>
      <c r="N102" s="3">
        <v>31695589764.368534</v>
      </c>
      <c r="O102" s="3">
        <v>985640</v>
      </c>
      <c r="P102" s="10">
        <v>31.695589764368535</v>
      </c>
      <c r="Q102" s="10">
        <v>309.32030558206083</v>
      </c>
      <c r="R102" s="3">
        <f t="shared" si="3"/>
        <v>10424105841816.947</v>
      </c>
      <c r="S102" s="2">
        <f t="shared" si="4"/>
        <v>0.30406051363388609</v>
      </c>
      <c r="T102" s="11">
        <f t="shared" si="5"/>
        <v>3.0406051363388608E-3</v>
      </c>
    </row>
    <row r="103" spans="1:20" x14ac:dyDescent="0.3">
      <c r="A103" t="s">
        <v>30</v>
      </c>
      <c r="B103" s="3">
        <v>17</v>
      </c>
      <c r="C103">
        <v>2010</v>
      </c>
      <c r="D103" s="2">
        <v>8821.9711921179223</v>
      </c>
      <c r="E103" s="2">
        <v>10675.327428608751</v>
      </c>
      <c r="F103" s="11">
        <v>0.76254523341714497</v>
      </c>
      <c r="G103" s="5">
        <v>0.35060000000000002</v>
      </c>
      <c r="H103">
        <v>0.54700000000000004</v>
      </c>
      <c r="I103" s="4">
        <v>0.53500000000000003</v>
      </c>
      <c r="J103" s="3">
        <v>209125705913</v>
      </c>
      <c r="K103" s="3">
        <v>305607006619.59222</v>
      </c>
      <c r="L103" s="3">
        <v>39463</v>
      </c>
      <c r="M103" s="3">
        <v>24285635000</v>
      </c>
      <c r="N103" s="3">
        <v>35489946985.731277</v>
      </c>
      <c r="O103" s="3">
        <v>984304</v>
      </c>
      <c r="P103" s="10">
        <v>35.489946985731279</v>
      </c>
      <c r="Q103" s="10">
        <v>305.6070066195922</v>
      </c>
      <c r="R103" s="3">
        <f t="shared" si="3"/>
        <v>10675327428608.75</v>
      </c>
      <c r="S103" s="2">
        <f t="shared" si="4"/>
        <v>0.3324483227617166</v>
      </c>
      <c r="T103" s="11">
        <f t="shared" si="5"/>
        <v>3.324483227617166E-3</v>
      </c>
    </row>
    <row r="104" spans="1:20" x14ac:dyDescent="0.3">
      <c r="A104" t="s">
        <v>30</v>
      </c>
      <c r="B104" s="3">
        <v>17</v>
      </c>
      <c r="C104">
        <v>2011</v>
      </c>
      <c r="D104" s="2">
        <v>9343.1019594586396</v>
      </c>
      <c r="E104" s="2">
        <v>10695.99755916757</v>
      </c>
      <c r="F104" s="11">
        <v>0.74381626380963806</v>
      </c>
      <c r="G104" s="5">
        <v>0.37209999999999999</v>
      </c>
      <c r="H104">
        <v>0.53500000000000003</v>
      </c>
      <c r="I104" s="4">
        <v>0.52800000000000002</v>
      </c>
      <c r="J104" s="3">
        <v>217812016980</v>
      </c>
      <c r="K104" s="3">
        <v>304644325558.68896</v>
      </c>
      <c r="L104" s="3">
        <v>36231</v>
      </c>
      <c r="M104" s="3">
        <v>20035850000</v>
      </c>
      <c r="N104" s="3">
        <v>28023283999.089565</v>
      </c>
      <c r="O104" s="3">
        <v>983498</v>
      </c>
      <c r="P104" s="10">
        <v>28.023283999089564</v>
      </c>
      <c r="Q104" s="10">
        <v>304.64432555868899</v>
      </c>
      <c r="R104" s="3">
        <f t="shared" si="3"/>
        <v>10695997559167.57</v>
      </c>
      <c r="S104" s="2">
        <f t="shared" si="4"/>
        <v>0.26199785334721515</v>
      </c>
      <c r="T104" s="11">
        <f t="shared" si="5"/>
        <v>2.6199785334721517E-3</v>
      </c>
    </row>
    <row r="105" spans="1:20" x14ac:dyDescent="0.3">
      <c r="A105" t="s">
        <v>30</v>
      </c>
      <c r="B105" s="3">
        <v>17</v>
      </c>
      <c r="C105">
        <v>2012</v>
      </c>
      <c r="D105" s="2">
        <v>9748.2223303160245</v>
      </c>
      <c r="E105" s="2">
        <v>10777.088071359862</v>
      </c>
      <c r="F105" s="11">
        <v>0.74426400576617657</v>
      </c>
      <c r="G105" s="5">
        <v>0.40189999999999998</v>
      </c>
      <c r="H105">
        <v>0.52700000000000002</v>
      </c>
      <c r="I105" s="4">
        <v>0.52200000000000002</v>
      </c>
      <c r="J105" s="3">
        <v>224663646108</v>
      </c>
      <c r="K105" s="3">
        <v>297309810559.63391</v>
      </c>
      <c r="L105" s="3">
        <v>33040</v>
      </c>
      <c r="M105" s="3">
        <v>16975895000</v>
      </c>
      <c r="N105" s="3">
        <v>22465139393.776245</v>
      </c>
      <c r="O105" s="3">
        <v>982904</v>
      </c>
      <c r="P105" s="10">
        <v>22.465139393776244</v>
      </c>
      <c r="Q105" s="10">
        <v>297.30981055963389</v>
      </c>
      <c r="R105" s="3">
        <f t="shared" si="3"/>
        <v>10777088071359.861</v>
      </c>
      <c r="S105" s="2">
        <f t="shared" si="4"/>
        <v>0.20845277727178838</v>
      </c>
      <c r="T105" s="11">
        <f t="shared" si="5"/>
        <v>2.0845277727178837E-3</v>
      </c>
    </row>
    <row r="106" spans="1:20" x14ac:dyDescent="0.3">
      <c r="A106" t="s">
        <v>30</v>
      </c>
      <c r="B106" s="3">
        <v>17</v>
      </c>
      <c r="C106">
        <v>2013</v>
      </c>
      <c r="D106" s="2">
        <v>10497.853683289919</v>
      </c>
      <c r="E106" s="2">
        <v>11462.382399886874</v>
      </c>
      <c r="F106" s="11">
        <v>0.72607317495366341</v>
      </c>
      <c r="G106" s="5">
        <v>0.44549999999999995</v>
      </c>
      <c r="H106">
        <v>0.52800000000000002</v>
      </c>
      <c r="I106" s="4">
        <v>0.52400000000000002</v>
      </c>
      <c r="J106" s="3">
        <v>241360663730</v>
      </c>
      <c r="K106" s="3">
        <v>296632255724.17004</v>
      </c>
      <c r="L106" s="3">
        <v>42929</v>
      </c>
      <c r="M106" s="3">
        <v>27111730000</v>
      </c>
      <c r="N106" s="3">
        <v>33320316170.000004</v>
      </c>
      <c r="O106" s="3">
        <v>982563</v>
      </c>
      <c r="P106" s="10">
        <v>33.320316170000005</v>
      </c>
      <c r="Q106" s="10">
        <v>296.63225572417002</v>
      </c>
      <c r="R106" s="3">
        <f t="shared" si="3"/>
        <v>11462382399886.873</v>
      </c>
      <c r="S106" s="2">
        <f t="shared" si="4"/>
        <v>0.29069276357704532</v>
      </c>
      <c r="T106" s="11">
        <f t="shared" si="5"/>
        <v>2.9069276357704533E-3</v>
      </c>
    </row>
    <row r="107" spans="1:20" x14ac:dyDescent="0.3">
      <c r="A107" t="s">
        <v>30</v>
      </c>
      <c r="B107" s="3">
        <v>17</v>
      </c>
      <c r="C107">
        <v>2014</v>
      </c>
      <c r="D107" s="2">
        <v>11518.624890664774</v>
      </c>
      <c r="E107" s="2">
        <v>12106.336467296247</v>
      </c>
      <c r="F107" s="11">
        <v>0.73925323077209926</v>
      </c>
      <c r="G107" s="5">
        <v>0.48499999999999999</v>
      </c>
      <c r="H107">
        <v>0.52700000000000002</v>
      </c>
      <c r="I107" s="4">
        <v>0.52200000000000002</v>
      </c>
      <c r="J107" s="3">
        <v>252131646697</v>
      </c>
      <c r="K107" s="3">
        <v>303793915480.9931</v>
      </c>
      <c r="L107" s="3">
        <v>43947</v>
      </c>
      <c r="M107" s="3">
        <v>29993678400</v>
      </c>
      <c r="N107" s="3">
        <v>36139441915.294113</v>
      </c>
      <c r="O107" s="3">
        <v>982933</v>
      </c>
      <c r="P107" s="10">
        <v>36.139441915294114</v>
      </c>
      <c r="Q107" s="10">
        <v>303.79391548099312</v>
      </c>
      <c r="R107" s="3">
        <f t="shared" si="3"/>
        <v>12106336467296.246</v>
      </c>
      <c r="S107" s="2">
        <f t="shared" si="4"/>
        <v>0.29851674792717264</v>
      </c>
      <c r="T107" s="11">
        <f t="shared" si="5"/>
        <v>2.9851674792717264E-3</v>
      </c>
    </row>
    <row r="108" spans="1:20" x14ac:dyDescent="0.3">
      <c r="A108" t="s">
        <v>30</v>
      </c>
      <c r="B108" s="3">
        <v>17</v>
      </c>
      <c r="C108">
        <v>2015</v>
      </c>
      <c r="D108" s="2">
        <v>12513.501744755558</v>
      </c>
      <c r="E108" s="2">
        <v>12513.501744755558</v>
      </c>
      <c r="F108" s="11">
        <v>0.71235614231341116</v>
      </c>
      <c r="G108" s="5">
        <v>0.51029999999999998</v>
      </c>
      <c r="H108">
        <v>0.51100000000000001</v>
      </c>
      <c r="I108" s="4">
        <v>0.51200000000000001</v>
      </c>
      <c r="J108" s="3">
        <v>256211272755</v>
      </c>
      <c r="K108" s="3">
        <v>299205296670.36774</v>
      </c>
      <c r="L108" s="3">
        <v>41683</v>
      </c>
      <c r="M108" s="3">
        <v>29658928700</v>
      </c>
      <c r="N108" s="3">
        <v>34635902102.147476</v>
      </c>
      <c r="O108" s="3">
        <v>984360</v>
      </c>
      <c r="P108" s="10">
        <v>34.635902102147476</v>
      </c>
      <c r="Q108" s="10">
        <v>299.20529667036772</v>
      </c>
      <c r="R108" s="3">
        <f t="shared" si="3"/>
        <v>12513501744755.559</v>
      </c>
      <c r="S108" s="2">
        <f t="shared" si="4"/>
        <v>0.2767882468763268</v>
      </c>
      <c r="T108" s="11">
        <f t="shared" si="5"/>
        <v>2.7678824687632679E-3</v>
      </c>
    </row>
    <row r="109" spans="1:20" x14ac:dyDescent="0.3">
      <c r="A109" t="s">
        <v>30</v>
      </c>
      <c r="B109" s="3">
        <v>17</v>
      </c>
      <c r="C109">
        <v>2016</v>
      </c>
      <c r="D109" s="2">
        <v>13798.295281628802</v>
      </c>
      <c r="E109" s="2">
        <v>12821.068783831432</v>
      </c>
      <c r="F109" s="11">
        <v>0.73659999999999992</v>
      </c>
      <c r="G109" s="5">
        <v>0.55380000000000007</v>
      </c>
      <c r="H109">
        <v>0.50800000000000001</v>
      </c>
      <c r="I109" s="4">
        <v>0.51</v>
      </c>
      <c r="J109" s="3">
        <v>281751507729</v>
      </c>
      <c r="K109" s="3">
        <v>317215649504.3432</v>
      </c>
      <c r="L109" s="3">
        <v>40840</v>
      </c>
      <c r="M109" s="3">
        <v>30119126450</v>
      </c>
      <c r="N109" s="3">
        <v>33910229394.512646</v>
      </c>
      <c r="O109" s="3">
        <v>987214</v>
      </c>
      <c r="P109" s="10">
        <v>33.910229394512648</v>
      </c>
      <c r="Q109" s="10">
        <v>317.21564950434322</v>
      </c>
      <c r="R109" s="3">
        <f t="shared" si="3"/>
        <v>12821068783831.432</v>
      </c>
      <c r="S109" s="2">
        <f t="shared" si="4"/>
        <v>0.26448831970448999</v>
      </c>
      <c r="T109" s="11">
        <f t="shared" si="5"/>
        <v>2.6448831970449001E-3</v>
      </c>
    </row>
    <row r="110" spans="1:20" x14ac:dyDescent="0.3">
      <c r="A110" t="s">
        <v>30</v>
      </c>
      <c r="B110" s="3">
        <v>17</v>
      </c>
      <c r="C110">
        <v>2017</v>
      </c>
      <c r="D110" s="2">
        <v>14749.498122878505</v>
      </c>
      <c r="E110" s="2">
        <v>13043.346698233452</v>
      </c>
      <c r="F110" s="11">
        <v>0.74424414454286281</v>
      </c>
      <c r="G110" s="5">
        <v>0.56479999999999997</v>
      </c>
      <c r="H110">
        <v>0.49700000000000005</v>
      </c>
      <c r="I110" s="4">
        <v>0.496</v>
      </c>
      <c r="J110" s="3">
        <v>312634304747</v>
      </c>
      <c r="K110" s="3">
        <v>343612556371.0097</v>
      </c>
      <c r="L110" s="3">
        <v>40704</v>
      </c>
      <c r="M110" s="3">
        <v>27969755400</v>
      </c>
      <c r="N110" s="3">
        <v>30741217480.414955</v>
      </c>
      <c r="O110" s="3">
        <v>991363</v>
      </c>
      <c r="P110" s="10">
        <v>30.741217480414956</v>
      </c>
      <c r="Q110" s="10">
        <v>343.6125563710097</v>
      </c>
      <c r="R110" s="3">
        <f t="shared" si="3"/>
        <v>13043346698233.451</v>
      </c>
      <c r="S110" s="2">
        <f t="shared" si="4"/>
        <v>0.23568504457968939</v>
      </c>
      <c r="T110" s="11">
        <f t="shared" si="5"/>
        <v>2.3568504457968939E-3</v>
      </c>
    </row>
    <row r="111" spans="1:20" x14ac:dyDescent="0.3">
      <c r="A111" t="s">
        <v>30</v>
      </c>
      <c r="B111" s="3">
        <v>17</v>
      </c>
      <c r="C111">
        <v>2018</v>
      </c>
      <c r="D111" s="2">
        <v>15660.756122975899</v>
      </c>
      <c r="E111" s="2">
        <v>13398.884305671812</v>
      </c>
      <c r="F111" s="11">
        <v>0.7614663534510574</v>
      </c>
      <c r="G111" s="5">
        <v>0.58090000000000008</v>
      </c>
      <c r="H111">
        <v>0.504</v>
      </c>
      <c r="I111" s="4">
        <v>0.49</v>
      </c>
      <c r="J111" s="3">
        <v>314481204934</v>
      </c>
      <c r="K111" s="3">
        <v>339092297652.11963</v>
      </c>
      <c r="L111" s="3">
        <v>38896</v>
      </c>
      <c r="M111" s="3">
        <v>26541916100</v>
      </c>
      <c r="N111" s="3">
        <v>28619069035.708015</v>
      </c>
      <c r="O111" s="3">
        <v>998255</v>
      </c>
      <c r="P111" s="10">
        <v>28.619069035708016</v>
      </c>
      <c r="Q111" s="10">
        <v>339.09229765211961</v>
      </c>
      <c r="R111" s="3">
        <f t="shared" si="3"/>
        <v>13398884305671.813</v>
      </c>
      <c r="S111" s="2">
        <f t="shared" si="4"/>
        <v>0.21359292596916765</v>
      </c>
      <c r="T111" s="11">
        <f t="shared" si="5"/>
        <v>2.1359292596916765E-3</v>
      </c>
    </row>
    <row r="112" spans="1:20" x14ac:dyDescent="0.3">
      <c r="A112" t="s">
        <v>31</v>
      </c>
      <c r="B112" s="3">
        <v>8</v>
      </c>
      <c r="C112">
        <v>2008</v>
      </c>
      <c r="D112" s="2">
        <v>19527.149199310064</v>
      </c>
      <c r="E112" s="2">
        <v>26748.374341116687</v>
      </c>
      <c r="F112" s="11">
        <v>0.72686241142198416</v>
      </c>
      <c r="G112" s="5">
        <v>0.36759999999999998</v>
      </c>
      <c r="H112">
        <v>0.55500000000000005</v>
      </c>
      <c r="I112" s="4">
        <v>0.498</v>
      </c>
      <c r="J112" s="3">
        <v>190692935667</v>
      </c>
      <c r="K112" s="3">
        <v>308248872727.53253</v>
      </c>
      <c r="L112" s="3">
        <v>61352</v>
      </c>
      <c r="M112" s="3">
        <v>36249502000</v>
      </c>
      <c r="N112" s="3">
        <v>58596130419.57122</v>
      </c>
      <c r="O112" s="3">
        <v>2204364</v>
      </c>
      <c r="P112" s="10">
        <v>58.596130419571217</v>
      </c>
      <c r="Q112" s="10">
        <v>308.24887272753256</v>
      </c>
      <c r="R112" s="3">
        <f t="shared" si="3"/>
        <v>26748374341116.688</v>
      </c>
      <c r="S112" s="2">
        <f t="shared" si="4"/>
        <v>0.21906426787776501</v>
      </c>
      <c r="T112" s="11">
        <f t="shared" si="5"/>
        <v>2.19064267877765E-3</v>
      </c>
    </row>
    <row r="113" spans="1:20" x14ac:dyDescent="0.3">
      <c r="A113" t="s">
        <v>31</v>
      </c>
      <c r="B113" s="3">
        <v>8</v>
      </c>
      <c r="C113">
        <v>2009</v>
      </c>
      <c r="D113" s="2">
        <v>20809.219457275856</v>
      </c>
      <c r="E113" s="2">
        <v>26735.527670363914</v>
      </c>
      <c r="F113" s="11">
        <v>0.66676937597234509</v>
      </c>
      <c r="G113" s="5">
        <v>0.36499999999999999</v>
      </c>
      <c r="H113">
        <v>0.54400000000000004</v>
      </c>
      <c r="I113" s="4">
        <v>0.495</v>
      </c>
      <c r="J113" s="3">
        <v>209070782352</v>
      </c>
      <c r="K113" s="3">
        <v>320344086162.08453</v>
      </c>
      <c r="L113" s="3">
        <v>147881</v>
      </c>
      <c r="M113" s="3">
        <v>63200260000</v>
      </c>
      <c r="N113" s="3">
        <v>96837201770.352829</v>
      </c>
      <c r="O113" s="3">
        <v>2233274</v>
      </c>
      <c r="P113" s="10">
        <v>96.837201770352834</v>
      </c>
      <c r="Q113" s="10">
        <v>320.34408616208452</v>
      </c>
      <c r="R113" s="3">
        <f t="shared" si="3"/>
        <v>26735527670363.914</v>
      </c>
      <c r="S113" s="2">
        <f t="shared" si="4"/>
        <v>0.36220419123313574</v>
      </c>
      <c r="T113" s="11">
        <f t="shared" si="5"/>
        <v>3.6220419123313575E-3</v>
      </c>
    </row>
    <row r="114" spans="1:20" x14ac:dyDescent="0.3">
      <c r="A114" t="s">
        <v>31</v>
      </c>
      <c r="B114" s="3">
        <v>8</v>
      </c>
      <c r="C114">
        <v>2010</v>
      </c>
      <c r="D114" s="2">
        <v>21443.213596245481</v>
      </c>
      <c r="E114" s="2">
        <v>26632.754304341732</v>
      </c>
      <c r="F114" s="11">
        <v>0.81529836083422191</v>
      </c>
      <c r="G114" s="5">
        <v>0.37859999999999999</v>
      </c>
      <c r="H114">
        <v>0.54700000000000004</v>
      </c>
      <c r="I114" s="4">
        <v>0.496</v>
      </c>
      <c r="J114" s="3">
        <v>204457131538</v>
      </c>
      <c r="K114" s="3">
        <v>298784559643.52203</v>
      </c>
      <c r="L114" s="3">
        <v>140564</v>
      </c>
      <c r="M114" s="3">
        <v>90838150000</v>
      </c>
      <c r="N114" s="3">
        <v>132746832758.62071</v>
      </c>
      <c r="O114" s="3">
        <v>2261656</v>
      </c>
      <c r="P114" s="10">
        <v>132.74683275862071</v>
      </c>
      <c r="Q114" s="10">
        <v>298.78455964352202</v>
      </c>
      <c r="R114" s="3">
        <f t="shared" si="3"/>
        <v>26632754304341.73</v>
      </c>
      <c r="S114" s="2">
        <f t="shared" si="4"/>
        <v>0.49843448875650104</v>
      </c>
      <c r="T114" s="11">
        <f t="shared" si="5"/>
        <v>4.9843448875650101E-3</v>
      </c>
    </row>
    <row r="115" spans="1:20" x14ac:dyDescent="0.3">
      <c r="A115" t="s">
        <v>31</v>
      </c>
      <c r="B115" s="3">
        <v>8</v>
      </c>
      <c r="C115">
        <v>2011</v>
      </c>
      <c r="D115" s="2">
        <v>23549.405763091636</v>
      </c>
      <c r="E115" s="2">
        <v>28126.179779351547</v>
      </c>
      <c r="F115" s="11">
        <v>0.78333479501386771</v>
      </c>
      <c r="G115" s="5">
        <v>0.40210000000000001</v>
      </c>
      <c r="H115">
        <v>0.53500000000000003</v>
      </c>
      <c r="I115" s="4">
        <v>0.46700000000000003</v>
      </c>
      <c r="J115" s="3">
        <v>220491525898</v>
      </c>
      <c r="K115" s="3">
        <v>308392039750.36078</v>
      </c>
      <c r="L115" s="3">
        <v>130752</v>
      </c>
      <c r="M115" s="3">
        <v>72914380000</v>
      </c>
      <c r="N115" s="3">
        <v>101982215796.06236</v>
      </c>
      <c r="O115" s="3">
        <v>2288947</v>
      </c>
      <c r="P115" s="10">
        <v>101.98221579606236</v>
      </c>
      <c r="Q115" s="10">
        <v>308.39203975036077</v>
      </c>
      <c r="R115" s="3">
        <f t="shared" si="3"/>
        <v>28126179779351.547</v>
      </c>
      <c r="S115" s="2">
        <f t="shared" si="4"/>
        <v>0.36258822419577658</v>
      </c>
      <c r="T115" s="11">
        <f t="shared" si="5"/>
        <v>3.6258822419577659E-3</v>
      </c>
    </row>
    <row r="116" spans="1:20" x14ac:dyDescent="0.3">
      <c r="A116" t="s">
        <v>31</v>
      </c>
      <c r="B116" s="3">
        <v>8</v>
      </c>
      <c r="C116">
        <v>2012</v>
      </c>
      <c r="D116" s="2">
        <v>26444.987110190366</v>
      </c>
      <c r="E116" s="2">
        <v>30066.027063020214</v>
      </c>
      <c r="F116" s="11">
        <v>0.76979315816552485</v>
      </c>
      <c r="G116" s="5">
        <v>0.42030000000000001</v>
      </c>
      <c r="H116">
        <v>0.52700000000000002</v>
      </c>
      <c r="I116" s="4">
        <v>0.46400000000000002</v>
      </c>
      <c r="J116" s="3">
        <v>228504478103</v>
      </c>
      <c r="K116" s="3">
        <v>302392595659.07935</v>
      </c>
      <c r="L116" s="3">
        <v>121367</v>
      </c>
      <c r="M116" s="3">
        <v>64371950000</v>
      </c>
      <c r="N116" s="3">
        <v>85186956552.169693</v>
      </c>
      <c r="O116" s="3">
        <v>2315361</v>
      </c>
      <c r="P116" s="10">
        <v>85.18695655216969</v>
      </c>
      <c r="Q116" s="10">
        <v>302.39259565907935</v>
      </c>
      <c r="R116" s="3">
        <f t="shared" si="3"/>
        <v>30066027063020.215</v>
      </c>
      <c r="S116" s="2">
        <f t="shared" si="4"/>
        <v>0.28333293379139413</v>
      </c>
      <c r="T116" s="11">
        <f t="shared" si="5"/>
        <v>2.8333293379139411E-3</v>
      </c>
    </row>
    <row r="117" spans="1:20" x14ac:dyDescent="0.3">
      <c r="A117" t="s">
        <v>31</v>
      </c>
      <c r="B117" s="3">
        <v>8</v>
      </c>
      <c r="C117">
        <v>2013</v>
      </c>
      <c r="D117" s="2">
        <v>29112.427026687204</v>
      </c>
      <c r="E117" s="2">
        <v>31663.831737896304</v>
      </c>
      <c r="F117" s="11">
        <v>0.74675807429653307</v>
      </c>
      <c r="G117" s="5">
        <v>0.49469999999999997</v>
      </c>
      <c r="H117">
        <v>0.52800000000000002</v>
      </c>
      <c r="I117" s="4">
        <v>0.45300000000000001</v>
      </c>
      <c r="J117" s="3">
        <v>264915457300</v>
      </c>
      <c r="K117" s="3">
        <v>325581097021.70001</v>
      </c>
      <c r="L117" s="3">
        <v>111422</v>
      </c>
      <c r="M117" s="3">
        <v>72556405000</v>
      </c>
      <c r="N117" s="3">
        <v>89171821745</v>
      </c>
      <c r="O117" s="3">
        <v>2341335</v>
      </c>
      <c r="P117" s="10">
        <v>89.171821745000003</v>
      </c>
      <c r="Q117" s="10">
        <v>325.58109702170003</v>
      </c>
      <c r="R117" s="3">
        <f t="shared" si="3"/>
        <v>31663831737896.305</v>
      </c>
      <c r="S117" s="2">
        <f t="shared" si="4"/>
        <v>0.28162043836999129</v>
      </c>
      <c r="T117" s="11">
        <f t="shared" si="5"/>
        <v>2.8162043836999131E-3</v>
      </c>
    </row>
    <row r="118" spans="1:20" x14ac:dyDescent="0.3">
      <c r="A118" t="s">
        <v>31</v>
      </c>
      <c r="B118" s="3">
        <v>8</v>
      </c>
      <c r="C118">
        <v>2014</v>
      </c>
      <c r="D118" s="2">
        <v>32382.665874534057</v>
      </c>
      <c r="E118" s="2">
        <v>33772.291575195108</v>
      </c>
      <c r="F118" s="11">
        <v>0.78296634562751666</v>
      </c>
      <c r="G118" s="5">
        <v>0.56769999999999998</v>
      </c>
      <c r="H118">
        <v>0.52700000000000002</v>
      </c>
      <c r="I118" s="4">
        <v>0.44500000000000001</v>
      </c>
      <c r="J118" s="3">
        <v>256981183864</v>
      </c>
      <c r="K118" s="3">
        <v>309637132322.40784</v>
      </c>
      <c r="L118" s="3">
        <v>130044</v>
      </c>
      <c r="M118" s="3">
        <v>93239060200</v>
      </c>
      <c r="N118" s="3">
        <v>112343926456.66666</v>
      </c>
      <c r="O118" s="3">
        <v>2366899</v>
      </c>
      <c r="P118" s="10">
        <v>112.34392645666665</v>
      </c>
      <c r="Q118" s="10">
        <v>309.63713232240787</v>
      </c>
      <c r="R118" s="3">
        <f t="shared" si="3"/>
        <v>33772291575195.109</v>
      </c>
      <c r="S118" s="2">
        <f t="shared" si="4"/>
        <v>0.33265118005548794</v>
      </c>
      <c r="T118" s="11">
        <f t="shared" si="5"/>
        <v>3.3265118005548792E-3</v>
      </c>
    </row>
    <row r="119" spans="1:20" x14ac:dyDescent="0.3">
      <c r="A119" t="s">
        <v>31</v>
      </c>
      <c r="B119" s="3">
        <v>8</v>
      </c>
      <c r="C119">
        <v>2015</v>
      </c>
      <c r="D119" s="2">
        <v>35716.29568989337</v>
      </c>
      <c r="E119" s="2">
        <v>35716.29568989337</v>
      </c>
      <c r="F119" s="11">
        <v>0.79221441554763961</v>
      </c>
      <c r="G119" s="5">
        <v>0.58379999999999999</v>
      </c>
      <c r="H119">
        <v>0.51100000000000001</v>
      </c>
      <c r="I119" s="4">
        <v>0.44</v>
      </c>
      <c r="J119" s="3">
        <v>276776185632</v>
      </c>
      <c r="K119" s="3">
        <v>323221144186.36261</v>
      </c>
      <c r="L119" s="3">
        <v>116414</v>
      </c>
      <c r="M119" s="3">
        <v>84623869000</v>
      </c>
      <c r="N119" s="3">
        <v>98824339605.663254</v>
      </c>
      <c r="O119" s="3">
        <v>2393557</v>
      </c>
      <c r="P119" s="10">
        <v>98.824339605663255</v>
      </c>
      <c r="Q119" s="10">
        <v>323.22114418636261</v>
      </c>
      <c r="R119" s="3">
        <f t="shared" si="3"/>
        <v>35716295689893.367</v>
      </c>
      <c r="S119" s="2">
        <f t="shared" si="4"/>
        <v>0.27669257882649784</v>
      </c>
      <c r="T119" s="11">
        <f t="shared" si="5"/>
        <v>2.7669257882649784E-3</v>
      </c>
    </row>
    <row r="120" spans="1:20" x14ac:dyDescent="0.3">
      <c r="A120" t="s">
        <v>31</v>
      </c>
      <c r="B120" s="3">
        <v>8</v>
      </c>
      <c r="C120">
        <v>2016</v>
      </c>
      <c r="D120" s="2">
        <v>38575.333095114249</v>
      </c>
      <c r="E120" s="2">
        <v>36347.380065247504</v>
      </c>
      <c r="F120" s="11">
        <v>0.79870000000000008</v>
      </c>
      <c r="G120" s="5">
        <v>0.59619999999999995</v>
      </c>
      <c r="H120">
        <v>0.50800000000000001</v>
      </c>
      <c r="I120" s="4">
        <v>0.432</v>
      </c>
      <c r="J120" s="3">
        <v>297754194124</v>
      </c>
      <c r="K120" s="3">
        <v>335232598551.11401</v>
      </c>
      <c r="L120" s="3">
        <v>112255</v>
      </c>
      <c r="M120" s="3">
        <v>83706279650</v>
      </c>
      <c r="N120" s="3">
        <v>94242412687.660324</v>
      </c>
      <c r="O120" s="3">
        <v>2427046</v>
      </c>
      <c r="P120" s="10">
        <v>94.24241268766032</v>
      </c>
      <c r="Q120" s="10">
        <v>335.23259855111399</v>
      </c>
      <c r="R120" s="3">
        <f t="shared" si="3"/>
        <v>36347380065247.5</v>
      </c>
      <c r="S120" s="2">
        <f t="shared" si="4"/>
        <v>0.25928254668833062</v>
      </c>
      <c r="T120" s="11">
        <f t="shared" si="5"/>
        <v>2.5928254668833063E-3</v>
      </c>
    </row>
    <row r="121" spans="1:20" x14ac:dyDescent="0.3">
      <c r="A121" t="s">
        <v>31</v>
      </c>
      <c r="B121" s="3">
        <v>8</v>
      </c>
      <c r="C121">
        <v>2017</v>
      </c>
      <c r="D121" s="2">
        <v>40874.78022790941</v>
      </c>
      <c r="E121" s="2">
        <v>36779.304586598766</v>
      </c>
      <c r="F121" s="11">
        <v>0.79470876784040856</v>
      </c>
      <c r="G121" s="5">
        <v>0.59489999999999998</v>
      </c>
      <c r="H121">
        <v>0.49700000000000005</v>
      </c>
      <c r="I121" s="4">
        <v>0.442</v>
      </c>
      <c r="J121" s="3">
        <v>316628995127</v>
      </c>
      <c r="K121" s="3">
        <v>348003071911.1814</v>
      </c>
      <c r="L121" s="3">
        <v>111608</v>
      </c>
      <c r="M121" s="3">
        <v>78464634900</v>
      </c>
      <c r="N121" s="3">
        <v>86239524496.601685</v>
      </c>
      <c r="O121" s="3">
        <v>2468429</v>
      </c>
      <c r="P121" s="10">
        <v>86.239524496601689</v>
      </c>
      <c r="Q121" s="10">
        <v>348.00307191118139</v>
      </c>
      <c r="R121" s="3">
        <f t="shared" si="3"/>
        <v>36779304586598.766</v>
      </c>
      <c r="S121" s="2">
        <f t="shared" si="4"/>
        <v>0.2344783988330891</v>
      </c>
      <c r="T121" s="11">
        <f t="shared" si="5"/>
        <v>2.3447839883308911E-3</v>
      </c>
    </row>
    <row r="122" spans="1:20" x14ac:dyDescent="0.3">
      <c r="A122" t="s">
        <v>31</v>
      </c>
      <c r="B122" s="3">
        <v>8</v>
      </c>
      <c r="C122">
        <v>2018</v>
      </c>
      <c r="D122" s="2">
        <v>43426.41830134239</v>
      </c>
      <c r="E122" s="2">
        <v>37641.18766124086</v>
      </c>
      <c r="F122" s="11">
        <v>0.79855992658638675</v>
      </c>
      <c r="G122" s="5">
        <v>0.58729999999999993</v>
      </c>
      <c r="H122">
        <v>0.504</v>
      </c>
      <c r="I122" s="4">
        <v>0.443</v>
      </c>
      <c r="J122" s="3">
        <v>332288517954</v>
      </c>
      <c r="K122" s="3">
        <v>358293199302.91803</v>
      </c>
      <c r="L122" s="3">
        <v>106915</v>
      </c>
      <c r="M122" s="3">
        <v>75356298800</v>
      </c>
      <c r="N122" s="3">
        <v>81253633291.103699</v>
      </c>
      <c r="O122" s="3">
        <v>2535517</v>
      </c>
      <c r="P122" s="10">
        <v>81.253633291103696</v>
      </c>
      <c r="Q122" s="10">
        <v>358.29319930291803</v>
      </c>
      <c r="R122" s="3">
        <f t="shared" si="3"/>
        <v>37641187661240.859</v>
      </c>
      <c r="S122" s="2">
        <f t="shared" si="4"/>
        <v>0.21586362795552963</v>
      </c>
      <c r="T122" s="11">
        <f t="shared" si="5"/>
        <v>2.1586362795552962E-3</v>
      </c>
    </row>
    <row r="123" spans="1:20" x14ac:dyDescent="0.3">
      <c r="A123" t="s">
        <v>32</v>
      </c>
      <c r="B123" s="3">
        <v>91</v>
      </c>
      <c r="C123">
        <v>2008</v>
      </c>
      <c r="D123" s="2">
        <v>304.24095154446087</v>
      </c>
      <c r="E123" s="2">
        <v>456.90981252430277</v>
      </c>
      <c r="F123" s="11">
        <v>0.59256048048498355</v>
      </c>
      <c r="G123" s="5">
        <v>6.0899999999999996E-2</v>
      </c>
      <c r="H123">
        <v>0.55500000000000005</v>
      </c>
      <c r="I123" s="1"/>
      <c r="J123" s="3">
        <v>59087475253</v>
      </c>
      <c r="K123" s="3">
        <v>95512964732.259628</v>
      </c>
      <c r="L123" s="3">
        <v>717</v>
      </c>
      <c r="M123" s="3">
        <v>506585000</v>
      </c>
      <c r="N123" s="3">
        <v>818878028.4098382</v>
      </c>
      <c r="O123">
        <v>63291</v>
      </c>
      <c r="P123" s="10">
        <v>0.81887802840983825</v>
      </c>
      <c r="Q123" s="10">
        <v>95.512964732259633</v>
      </c>
      <c r="R123" s="3">
        <f t="shared" si="3"/>
        <v>456909812524.3028</v>
      </c>
      <c r="S123" s="2">
        <f t="shared" si="4"/>
        <v>0.17922093287639396</v>
      </c>
      <c r="T123" s="11">
        <f t="shared" si="5"/>
        <v>1.7922093287639396E-3</v>
      </c>
    </row>
    <row r="124" spans="1:20" x14ac:dyDescent="0.3">
      <c r="A124" t="s">
        <v>32</v>
      </c>
      <c r="B124" s="3">
        <v>91</v>
      </c>
      <c r="C124">
        <v>2009</v>
      </c>
      <c r="D124" s="2">
        <v>336.19112968662517</v>
      </c>
      <c r="E124" s="2">
        <v>469.91792106591987</v>
      </c>
      <c r="F124" s="11">
        <v>0.45385604633264554</v>
      </c>
      <c r="G124" s="5">
        <v>0.1139</v>
      </c>
      <c r="H124">
        <v>0.54400000000000004</v>
      </c>
      <c r="J124" s="3">
        <v>55407195571</v>
      </c>
      <c r="K124" s="3">
        <v>84896451012.042145</v>
      </c>
      <c r="L124" s="3">
        <v>4039</v>
      </c>
      <c r="M124" s="3">
        <v>2500890000</v>
      </c>
      <c r="N124" s="3">
        <v>3831933437.2272787</v>
      </c>
      <c r="O124">
        <v>64616</v>
      </c>
      <c r="P124" s="10">
        <v>3.8319334372272786</v>
      </c>
      <c r="Q124" s="10">
        <v>84.896451012042149</v>
      </c>
      <c r="R124" s="3">
        <f t="shared" si="3"/>
        <v>469917921065.91986</v>
      </c>
      <c r="S124" s="2">
        <f t="shared" si="4"/>
        <v>0.81544739313947923</v>
      </c>
      <c r="T124" s="11">
        <f t="shared" si="5"/>
        <v>8.1544739313947918E-3</v>
      </c>
    </row>
    <row r="125" spans="1:20" x14ac:dyDescent="0.3">
      <c r="A125" t="s">
        <v>32</v>
      </c>
      <c r="B125" s="3">
        <v>91</v>
      </c>
      <c r="C125">
        <v>2010</v>
      </c>
      <c r="D125" s="2">
        <v>368.98975622538876</v>
      </c>
      <c r="E125" s="2">
        <v>486.17805674294135</v>
      </c>
      <c r="F125" s="11">
        <v>0.53422892584126769</v>
      </c>
      <c r="G125" s="5">
        <v>0.1333</v>
      </c>
      <c r="H125">
        <v>0.54700000000000004</v>
      </c>
      <c r="J125" s="3">
        <v>59175939655</v>
      </c>
      <c r="K125" s="3">
        <v>86477086606.414993</v>
      </c>
      <c r="L125" s="3">
        <v>3998</v>
      </c>
      <c r="M125" s="3">
        <v>3029675000</v>
      </c>
      <c r="N125" s="3">
        <v>4427432312.72295</v>
      </c>
      <c r="O125">
        <v>65991</v>
      </c>
      <c r="P125" s="10">
        <v>4.4274323127229502</v>
      </c>
      <c r="Q125" s="10">
        <v>86.477086606415</v>
      </c>
      <c r="R125" s="3">
        <f t="shared" si="3"/>
        <v>486178056742.94135</v>
      </c>
      <c r="S125" s="2">
        <f t="shared" si="4"/>
        <v>0.91066066255307809</v>
      </c>
      <c r="T125" s="11">
        <f t="shared" si="5"/>
        <v>9.1066066255307814E-3</v>
      </c>
    </row>
    <row r="126" spans="1:20" x14ac:dyDescent="0.3">
      <c r="A126" t="s">
        <v>32</v>
      </c>
      <c r="B126" s="3">
        <v>91</v>
      </c>
      <c r="C126">
        <v>2011</v>
      </c>
      <c r="D126" s="2">
        <v>402.09194353172472</v>
      </c>
      <c r="E126" s="2">
        <v>500.81217885226067</v>
      </c>
      <c r="F126" s="11">
        <v>0.48376062331931746</v>
      </c>
      <c r="G126" s="5">
        <v>0.1143</v>
      </c>
      <c r="H126">
        <v>0.53500000000000003</v>
      </c>
      <c r="J126" s="3">
        <v>63582014839</v>
      </c>
      <c r="K126" s="3">
        <v>88929436937.670425</v>
      </c>
      <c r="L126" s="3">
        <v>3863</v>
      </c>
      <c r="M126">
        <v>2792755000</v>
      </c>
      <c r="N126" s="3">
        <v>3906106629.111187</v>
      </c>
      <c r="O126">
        <v>67361</v>
      </c>
      <c r="P126" s="10">
        <v>3.906106629111187</v>
      </c>
      <c r="Q126" s="10">
        <v>88.929436937670431</v>
      </c>
      <c r="R126" s="3">
        <f t="shared" si="3"/>
        <v>500812178852.26068</v>
      </c>
      <c r="S126" s="2">
        <f t="shared" si="4"/>
        <v>0.77995440088198942</v>
      </c>
      <c r="T126" s="11">
        <f t="shared" si="5"/>
        <v>7.7995440088198939E-3</v>
      </c>
    </row>
    <row r="127" spans="1:20" x14ac:dyDescent="0.3">
      <c r="A127" t="s">
        <v>32</v>
      </c>
      <c r="B127" s="3">
        <v>91</v>
      </c>
      <c r="C127">
        <v>2012</v>
      </c>
      <c r="D127" s="2">
        <v>437.51824429308067</v>
      </c>
      <c r="E127" s="2">
        <v>520.32434166468636</v>
      </c>
      <c r="F127" s="11">
        <v>0.59250237474417811</v>
      </c>
      <c r="G127" s="5">
        <v>0.10279999999999999</v>
      </c>
      <c r="H127">
        <v>0.52700000000000002</v>
      </c>
      <c r="J127" s="3">
        <v>65510992738</v>
      </c>
      <c r="K127" s="3">
        <v>86694314714.118668</v>
      </c>
      <c r="L127" s="3">
        <v>3657</v>
      </c>
      <c r="M127">
        <v>2454430000</v>
      </c>
      <c r="N127" s="3">
        <v>3248082771.6162376</v>
      </c>
      <c r="O127">
        <v>68681</v>
      </c>
      <c r="P127" s="10">
        <v>3.2480827716162377</v>
      </c>
      <c r="Q127" s="10">
        <v>86.694314714118661</v>
      </c>
      <c r="R127" s="3">
        <f t="shared" si="3"/>
        <v>520324341664.68634</v>
      </c>
      <c r="S127" s="2">
        <f t="shared" si="4"/>
        <v>0.62424194132924227</v>
      </c>
      <c r="T127" s="11">
        <f t="shared" si="5"/>
        <v>6.2424194132924228E-3</v>
      </c>
    </row>
    <row r="128" spans="1:20" x14ac:dyDescent="0.3">
      <c r="A128" t="s">
        <v>32</v>
      </c>
      <c r="B128" s="3">
        <v>91</v>
      </c>
      <c r="C128">
        <v>2013</v>
      </c>
      <c r="D128" s="2">
        <v>475.95933559940829</v>
      </c>
      <c r="E128" s="2">
        <v>541.46251804481415</v>
      </c>
      <c r="F128" s="11">
        <v>0.57740978860607628</v>
      </c>
      <c r="G128" s="5">
        <v>8.3100000000000007E-2</v>
      </c>
      <c r="H128">
        <v>0.52800000000000002</v>
      </c>
      <c r="J128" s="3">
        <v>75818282237</v>
      </c>
      <c r="K128" s="3">
        <v>93180668869.27301</v>
      </c>
      <c r="L128" s="3">
        <v>4846</v>
      </c>
      <c r="M128">
        <v>3972130000</v>
      </c>
      <c r="N128" s="3">
        <v>4881747770</v>
      </c>
      <c r="O128">
        <v>69953</v>
      </c>
      <c r="P128" s="10">
        <v>4.8817477699999996</v>
      </c>
      <c r="Q128" s="10">
        <v>93.180668869273006</v>
      </c>
      <c r="R128" s="3">
        <f t="shared" si="3"/>
        <v>541462518044.81415</v>
      </c>
      <c r="S128" s="2">
        <f t="shared" si="4"/>
        <v>0.9015855405149138</v>
      </c>
      <c r="T128" s="11">
        <f t="shared" si="5"/>
        <v>9.0158554051491379E-3</v>
      </c>
    </row>
    <row r="129" spans="1:20" x14ac:dyDescent="0.3">
      <c r="A129" t="s">
        <v>32</v>
      </c>
      <c r="B129" s="3">
        <v>91</v>
      </c>
      <c r="C129">
        <v>2014</v>
      </c>
      <c r="D129" s="2">
        <v>531.67004118815521</v>
      </c>
      <c r="E129" s="2">
        <v>562.60069442494193</v>
      </c>
      <c r="F129" s="11">
        <v>0.58966937732113667</v>
      </c>
      <c r="G129" s="5">
        <v>7.3800000000000004E-2</v>
      </c>
      <c r="H129">
        <v>0.52700000000000002</v>
      </c>
      <c r="J129" s="3">
        <v>74291738586</v>
      </c>
      <c r="K129" s="3">
        <v>89514261492.347061</v>
      </c>
      <c r="L129" s="3">
        <v>4810</v>
      </c>
      <c r="M129">
        <v>4177216800</v>
      </c>
      <c r="N129" s="3">
        <v>5033136712.9411764</v>
      </c>
      <c r="O129">
        <v>71215</v>
      </c>
      <c r="P129" s="10">
        <v>5.0331367129411761</v>
      </c>
      <c r="Q129" s="10">
        <v>89.51426149234706</v>
      </c>
      <c r="R129" s="3">
        <f t="shared" si="3"/>
        <v>562600694424.94189</v>
      </c>
      <c r="S129" s="2">
        <f t="shared" si="4"/>
        <v>0.89461971213628866</v>
      </c>
      <c r="T129" s="11">
        <f t="shared" si="5"/>
        <v>8.9461971213628862E-3</v>
      </c>
    </row>
    <row r="130" spans="1:20" x14ac:dyDescent="0.3">
      <c r="A130" t="s">
        <v>32</v>
      </c>
      <c r="B130" s="3">
        <v>91</v>
      </c>
      <c r="C130">
        <v>2015</v>
      </c>
      <c r="D130" s="2">
        <v>593.36440296667229</v>
      </c>
      <c r="E130" s="2">
        <v>593.36440296667229</v>
      </c>
      <c r="F130" s="11">
        <v>0.59452417033630411</v>
      </c>
      <c r="G130" s="5">
        <v>6.5299999999999997E-2</v>
      </c>
      <c r="H130">
        <v>0.51100000000000001</v>
      </c>
      <c r="J130" s="3">
        <v>74267116117</v>
      </c>
      <c r="K130" s="3">
        <v>86729651945.831436</v>
      </c>
      <c r="L130" s="3">
        <v>5111</v>
      </c>
      <c r="M130">
        <v>4496003100</v>
      </c>
      <c r="N130" s="3">
        <v>5250463521.3797035</v>
      </c>
      <c r="O130">
        <v>72485</v>
      </c>
      <c r="P130" s="10">
        <v>5.2504635213797037</v>
      </c>
      <c r="Q130" s="10">
        <v>86.729651945831435</v>
      </c>
      <c r="R130" s="3">
        <f t="shared" si="3"/>
        <v>593364402966.67224</v>
      </c>
      <c r="S130" s="2">
        <f t="shared" si="4"/>
        <v>0.88486324678877115</v>
      </c>
      <c r="T130" s="11">
        <f t="shared" si="5"/>
        <v>8.8486324678877116E-3</v>
      </c>
    </row>
    <row r="131" spans="1:20" x14ac:dyDescent="0.3">
      <c r="A131" t="s">
        <v>32</v>
      </c>
      <c r="B131" s="3">
        <v>91</v>
      </c>
      <c r="C131">
        <v>2016</v>
      </c>
      <c r="D131" s="2">
        <v>660.62099748378057</v>
      </c>
      <c r="E131" s="2">
        <v>613.62908644514403</v>
      </c>
      <c r="F131" s="11">
        <v>0.62070000000000003</v>
      </c>
      <c r="G131" s="5">
        <v>0.1085</v>
      </c>
      <c r="H131">
        <v>0.50800000000000001</v>
      </c>
      <c r="J131" s="3">
        <v>81341173348.460007</v>
      </c>
      <c r="K131" s="3">
        <v>91579609788.619797</v>
      </c>
      <c r="L131" s="3">
        <v>5101</v>
      </c>
      <c r="M131">
        <v>4794655150</v>
      </c>
      <c r="N131" s="3">
        <v>5398159746.5646763</v>
      </c>
      <c r="O131">
        <v>73790</v>
      </c>
      <c r="P131" s="10">
        <v>5.3981597465646765</v>
      </c>
      <c r="Q131" s="10">
        <v>91.579609788619791</v>
      </c>
      <c r="R131" s="3">
        <f t="shared" ref="R131:R194" si="6">E131*1000000000</f>
        <v>613629086445.14404</v>
      </c>
      <c r="S131" s="2">
        <f t="shared" ref="S131:S194" si="7">(N131/R131)*100</f>
        <v>0.87971053944608768</v>
      </c>
      <c r="T131" s="11">
        <f t="shared" ref="T131:T194" si="8">S131/100</f>
        <v>8.7971053944608767E-3</v>
      </c>
    </row>
    <row r="132" spans="1:20" x14ac:dyDescent="0.3">
      <c r="A132" t="s">
        <v>32</v>
      </c>
      <c r="B132" s="3">
        <v>91</v>
      </c>
      <c r="C132">
        <v>2017</v>
      </c>
      <c r="D132" s="2">
        <v>710.14697564607457</v>
      </c>
      <c r="E132" s="2">
        <v>629.7359631035614</v>
      </c>
      <c r="F132" s="11">
        <v>0.62121150624280641</v>
      </c>
      <c r="G132" s="5">
        <v>7.6399999999999996E-2</v>
      </c>
      <c r="H132">
        <v>0.49700000000000005</v>
      </c>
      <c r="J132" s="3">
        <v>80534377318</v>
      </c>
      <c r="K132" s="3">
        <v>88514353178.163132</v>
      </c>
      <c r="L132" s="3">
        <v>5088</v>
      </c>
      <c r="M132">
        <v>5135002200</v>
      </c>
      <c r="N132" s="3">
        <v>5643818372.2053308</v>
      </c>
      <c r="O132">
        <v>75104</v>
      </c>
      <c r="P132" s="10">
        <v>5.643818372205331</v>
      </c>
      <c r="Q132" s="10">
        <v>88.514353178163134</v>
      </c>
      <c r="R132" s="3">
        <f t="shared" si="6"/>
        <v>629735963103.5614</v>
      </c>
      <c r="S132" s="2">
        <f t="shared" si="7"/>
        <v>0.89621979732435775</v>
      </c>
      <c r="T132" s="11">
        <f t="shared" si="8"/>
        <v>8.9621979732435776E-3</v>
      </c>
    </row>
    <row r="133" spans="1:20" x14ac:dyDescent="0.3">
      <c r="A133" t="s">
        <v>32</v>
      </c>
      <c r="B133" s="3">
        <v>91</v>
      </c>
      <c r="C133">
        <v>2018</v>
      </c>
      <c r="D133" s="2">
        <v>757.41617084856591</v>
      </c>
      <c r="E133" s="2">
        <v>647.62536314381816</v>
      </c>
      <c r="F133" s="11">
        <v>0.6213955425938783</v>
      </c>
      <c r="G133" s="5">
        <v>7.6299999999999993E-2</v>
      </c>
      <c r="H133">
        <v>0.504</v>
      </c>
      <c r="J133" s="3">
        <v>79698526964</v>
      </c>
      <c r="K133" s="3">
        <v>85935681381.607285</v>
      </c>
      <c r="L133" s="3">
        <v>4820</v>
      </c>
      <c r="M133">
        <v>4621670800</v>
      </c>
      <c r="N133" s="3">
        <v>4983359723.8111944</v>
      </c>
      <c r="O133">
        <v>76589</v>
      </c>
      <c r="P133" s="10">
        <v>4.9833597238111942</v>
      </c>
      <c r="Q133" s="10">
        <v>85.935681381607282</v>
      </c>
      <c r="R133" s="3">
        <f t="shared" si="6"/>
        <v>647625363143.81812</v>
      </c>
      <c r="S133" s="2">
        <f t="shared" si="7"/>
        <v>0.76948186519750927</v>
      </c>
      <c r="T133" s="11">
        <f t="shared" si="8"/>
        <v>7.6948186519750928E-3</v>
      </c>
    </row>
    <row r="134" spans="1:20" x14ac:dyDescent="0.3">
      <c r="A134" t="s">
        <v>33</v>
      </c>
      <c r="B134" s="3">
        <v>81</v>
      </c>
      <c r="C134">
        <v>2008</v>
      </c>
      <c r="D134" s="2">
        <v>5837.0642682306689</v>
      </c>
      <c r="E134" s="2">
        <v>5778.9332036765509</v>
      </c>
      <c r="F134" s="11">
        <v>0.61977118306302781</v>
      </c>
      <c r="G134" s="5">
        <v>0.12279999999999999</v>
      </c>
      <c r="H134">
        <v>0.55500000000000005</v>
      </c>
      <c r="I134" s="1"/>
      <c r="J134" s="3">
        <v>95548747719</v>
      </c>
      <c r="K134" s="3">
        <v>154451415160.66156</v>
      </c>
      <c r="L134" s="6">
        <v>20060</v>
      </c>
      <c r="M134" s="9">
        <v>12175137000</v>
      </c>
      <c r="N134" s="9">
        <v>19680709421.281071</v>
      </c>
      <c r="O134">
        <v>224996</v>
      </c>
      <c r="P134" s="10">
        <v>19.680709421281072</v>
      </c>
      <c r="Q134" s="10">
        <v>154.45141516066155</v>
      </c>
      <c r="R134" s="3">
        <f t="shared" si="6"/>
        <v>5778933203676.5508</v>
      </c>
      <c r="S134" s="2">
        <f t="shared" si="7"/>
        <v>0.34055955879123545</v>
      </c>
      <c r="T134" s="11">
        <f t="shared" si="8"/>
        <v>3.4055955879123546E-3</v>
      </c>
    </row>
    <row r="135" spans="1:20" x14ac:dyDescent="0.3">
      <c r="A135" t="s">
        <v>33</v>
      </c>
      <c r="B135" s="3">
        <v>81</v>
      </c>
      <c r="C135">
        <v>2009</v>
      </c>
      <c r="D135" s="2">
        <v>5062.3367978251354</v>
      </c>
      <c r="E135" s="2">
        <v>5768.3073743028353</v>
      </c>
      <c r="F135" s="11">
        <v>0.53825092813940667</v>
      </c>
      <c r="G135" s="5">
        <v>0.12869999999999998</v>
      </c>
      <c r="H135">
        <v>0.54400000000000004</v>
      </c>
      <c r="J135" s="3">
        <v>100814418122</v>
      </c>
      <c r="K135" s="3">
        <v>154470664346.01422</v>
      </c>
      <c r="L135" s="6">
        <v>26490</v>
      </c>
      <c r="M135" s="9">
        <v>16335790000</v>
      </c>
      <c r="N135" s="3">
        <v>25030153235.25745</v>
      </c>
      <c r="O135">
        <v>226705</v>
      </c>
      <c r="P135" s="10">
        <v>25.030153235257451</v>
      </c>
      <c r="Q135" s="10">
        <v>154.47066434601422</v>
      </c>
      <c r="R135" s="3">
        <f t="shared" si="6"/>
        <v>5768307374302.835</v>
      </c>
      <c r="S135" s="2">
        <f t="shared" si="7"/>
        <v>0.43392544140008882</v>
      </c>
      <c r="T135" s="11">
        <f t="shared" si="8"/>
        <v>4.3392544140008881E-3</v>
      </c>
    </row>
    <row r="136" spans="1:20" x14ac:dyDescent="0.3">
      <c r="A136" t="s">
        <v>33</v>
      </c>
      <c r="B136" s="3">
        <v>81</v>
      </c>
      <c r="C136">
        <v>2010</v>
      </c>
      <c r="D136" s="2">
        <v>5216.7115799090534</v>
      </c>
      <c r="E136" s="2">
        <v>5284.0731499863605</v>
      </c>
      <c r="F136" s="11">
        <v>0.73970072646902618</v>
      </c>
      <c r="G136" s="5">
        <v>0.1268</v>
      </c>
      <c r="H136">
        <v>0.54700000000000004</v>
      </c>
      <c r="J136" s="3">
        <v>104734796436</v>
      </c>
      <c r="K136" s="3">
        <v>153054773864.26163</v>
      </c>
      <c r="L136" s="6">
        <v>25424</v>
      </c>
      <c r="M136" s="9">
        <v>17460995000</v>
      </c>
      <c r="N136" s="3">
        <v>25516721587.395962</v>
      </c>
      <c r="O136">
        <v>228513</v>
      </c>
      <c r="P136" s="10">
        <v>25.516721587395963</v>
      </c>
      <c r="Q136" s="10">
        <v>153.05477386426162</v>
      </c>
      <c r="R136" s="3">
        <f t="shared" si="6"/>
        <v>5284073149986.3604</v>
      </c>
      <c r="S136" s="2">
        <f t="shared" si="7"/>
        <v>0.48289871966404979</v>
      </c>
      <c r="T136" s="11">
        <f t="shared" si="8"/>
        <v>4.828987196640498E-3</v>
      </c>
    </row>
    <row r="137" spans="1:20" x14ac:dyDescent="0.3">
      <c r="A137" t="s">
        <v>33</v>
      </c>
      <c r="B137" s="3">
        <v>81</v>
      </c>
      <c r="C137">
        <v>2011</v>
      </c>
      <c r="D137" s="2">
        <v>6170.8120992549657</v>
      </c>
      <c r="E137" s="2">
        <v>5077.6284650113121</v>
      </c>
      <c r="F137" s="11">
        <v>0.71720460179713141</v>
      </c>
      <c r="G137" s="5">
        <v>0.14949999999999999</v>
      </c>
      <c r="H137">
        <v>0.53500000000000003</v>
      </c>
      <c r="J137" s="3">
        <v>112386701466</v>
      </c>
      <c r="K137" s="3">
        <v>157190458747.8252</v>
      </c>
      <c r="L137" s="6">
        <v>22737</v>
      </c>
      <c r="M137" s="9">
        <v>13324575000</v>
      </c>
      <c r="N137" s="3">
        <v>18636511522.703995</v>
      </c>
      <c r="O137">
        <v>230349</v>
      </c>
      <c r="P137" s="10">
        <v>18.636511522703994</v>
      </c>
      <c r="Q137" s="10">
        <v>157.1904587478252</v>
      </c>
      <c r="R137" s="3">
        <f t="shared" si="6"/>
        <v>5077628465011.3125</v>
      </c>
      <c r="S137" s="2">
        <f t="shared" si="7"/>
        <v>0.36703180729199875</v>
      </c>
      <c r="T137" s="11">
        <f t="shared" si="8"/>
        <v>3.6703180729199874E-3</v>
      </c>
    </row>
    <row r="138" spans="1:20" x14ac:dyDescent="0.3">
      <c r="A138" t="s">
        <v>33</v>
      </c>
      <c r="B138" s="3">
        <v>81</v>
      </c>
      <c r="C138">
        <v>2012</v>
      </c>
      <c r="D138" s="2">
        <v>5983.518003020743</v>
      </c>
      <c r="E138" s="2">
        <v>4819.5726087925013</v>
      </c>
      <c r="F138" s="11">
        <v>0.63538333254827928</v>
      </c>
      <c r="G138" s="5">
        <v>0.1628</v>
      </c>
      <c r="H138">
        <v>0.52700000000000002</v>
      </c>
      <c r="J138" s="3">
        <v>118549868286</v>
      </c>
      <c r="K138" s="3">
        <v>156883587943.89362</v>
      </c>
      <c r="L138" s="6">
        <v>20325</v>
      </c>
      <c r="M138" s="9">
        <v>10832705000</v>
      </c>
      <c r="N138" s="3">
        <v>14335516792.290298</v>
      </c>
      <c r="O138">
        <v>232316</v>
      </c>
      <c r="P138" s="10">
        <v>14.335516792290299</v>
      </c>
      <c r="Q138" s="10">
        <v>156.88358794389362</v>
      </c>
      <c r="R138" s="3">
        <f t="shared" si="6"/>
        <v>4819572608792.501</v>
      </c>
      <c r="S138" s="2">
        <f t="shared" si="7"/>
        <v>0.29744373528344725</v>
      </c>
      <c r="T138" s="11">
        <f t="shared" si="8"/>
        <v>2.9744373528344725E-3</v>
      </c>
    </row>
    <row r="139" spans="1:20" x14ac:dyDescent="0.3">
      <c r="A139" t="s">
        <v>33</v>
      </c>
      <c r="B139" s="3">
        <v>81</v>
      </c>
      <c r="C139">
        <v>2013</v>
      </c>
      <c r="D139" s="2">
        <v>5673.9815152890214</v>
      </c>
      <c r="E139" s="2">
        <v>4672.3289731852974</v>
      </c>
      <c r="F139" s="11">
        <v>0.6827338636427206</v>
      </c>
      <c r="G139" s="5">
        <v>0.13550000000000001</v>
      </c>
      <c r="H139">
        <v>0.52800000000000002</v>
      </c>
      <c r="J139" s="3">
        <v>126608793553</v>
      </c>
      <c r="K139" s="3">
        <v>155602207276.63702</v>
      </c>
      <c r="L139" s="6">
        <v>25117</v>
      </c>
      <c r="M139" s="9">
        <v>17441965000</v>
      </c>
      <c r="N139" s="3">
        <v>21436174985</v>
      </c>
      <c r="O139">
        <v>234529</v>
      </c>
      <c r="P139" s="10">
        <v>21.436174985000001</v>
      </c>
      <c r="Q139" s="10">
        <v>155.60220727663702</v>
      </c>
      <c r="R139" s="3">
        <f t="shared" si="6"/>
        <v>4672328973185.2979</v>
      </c>
      <c r="S139" s="2">
        <f t="shared" si="7"/>
        <v>0.45878993341485913</v>
      </c>
      <c r="T139" s="11">
        <f t="shared" si="8"/>
        <v>4.5878993341485911E-3</v>
      </c>
    </row>
    <row r="140" spans="1:20" x14ac:dyDescent="0.3">
      <c r="A140" t="s">
        <v>33</v>
      </c>
      <c r="B140" s="3">
        <v>81</v>
      </c>
      <c r="C140">
        <v>2014</v>
      </c>
      <c r="D140" s="2">
        <v>5009.8541201911667</v>
      </c>
      <c r="E140" s="2">
        <v>4309.5327988541449</v>
      </c>
      <c r="F140" s="11">
        <v>0.70858169897041501</v>
      </c>
      <c r="G140" s="5">
        <v>0.11630000000000001</v>
      </c>
      <c r="H140">
        <v>0.52700000000000002</v>
      </c>
      <c r="J140" s="3">
        <v>132084332298</v>
      </c>
      <c r="K140" s="3">
        <v>159148670974.74704</v>
      </c>
      <c r="L140" s="6">
        <v>25212</v>
      </c>
      <c r="M140" s="9">
        <v>19090880200</v>
      </c>
      <c r="N140" s="3">
        <v>23002638986.07843</v>
      </c>
      <c r="O140">
        <v>236931</v>
      </c>
      <c r="P140" s="10">
        <v>23.002638986078431</v>
      </c>
      <c r="Q140" s="10">
        <v>159.14867097474703</v>
      </c>
      <c r="R140" s="3">
        <f t="shared" si="6"/>
        <v>4309532798854.145</v>
      </c>
      <c r="S140" s="2">
        <f t="shared" si="7"/>
        <v>0.53376178021419318</v>
      </c>
      <c r="T140" s="11">
        <f t="shared" si="8"/>
        <v>5.3376178021419321E-3</v>
      </c>
    </row>
    <row r="141" spans="1:20" x14ac:dyDescent="0.3">
      <c r="A141" t="s">
        <v>33</v>
      </c>
      <c r="B141" s="3">
        <v>81</v>
      </c>
      <c r="C141">
        <v>2015</v>
      </c>
      <c r="D141" s="2">
        <v>4534.0930204855558</v>
      </c>
      <c r="E141" s="2">
        <v>4534.0930204855558</v>
      </c>
      <c r="F141" s="11">
        <v>0.7378693639050744</v>
      </c>
      <c r="G141" s="5">
        <v>0.11</v>
      </c>
      <c r="H141">
        <v>0.51100000000000001</v>
      </c>
      <c r="J141" s="3">
        <v>143703156877</v>
      </c>
      <c r="K141" s="3">
        <v>167817540670.6889</v>
      </c>
      <c r="L141" s="6">
        <v>24548</v>
      </c>
      <c r="M141" s="9">
        <v>19610631650</v>
      </c>
      <c r="N141" s="3">
        <v>22901431297.843025</v>
      </c>
      <c r="O141">
        <v>239772</v>
      </c>
      <c r="P141" s="10">
        <v>22.901431297843025</v>
      </c>
      <c r="Q141" s="10">
        <v>167.81754067068891</v>
      </c>
      <c r="R141" s="3">
        <f t="shared" si="6"/>
        <v>4534093020485.5557</v>
      </c>
      <c r="S141" s="2">
        <f t="shared" si="7"/>
        <v>0.50509398890520585</v>
      </c>
      <c r="T141" s="11">
        <f t="shared" si="8"/>
        <v>5.0509398890520585E-3</v>
      </c>
    </row>
    <row r="142" spans="1:20" x14ac:dyDescent="0.3">
      <c r="A142" t="s">
        <v>33</v>
      </c>
      <c r="B142" s="3">
        <v>81</v>
      </c>
      <c r="C142">
        <v>2016</v>
      </c>
      <c r="D142" s="2">
        <v>4151.5000626159199</v>
      </c>
      <c r="E142" s="2">
        <v>4271.8208974111312</v>
      </c>
      <c r="F142" s="11">
        <v>0.68709999999999993</v>
      </c>
      <c r="G142" s="5">
        <v>0.10679999999999999</v>
      </c>
      <c r="H142">
        <v>0.50800000000000001</v>
      </c>
      <c r="J142" s="3">
        <v>156621765025</v>
      </c>
      <c r="K142" s="3">
        <v>176335790780.25378</v>
      </c>
      <c r="L142" s="6">
        <v>24913</v>
      </c>
      <c r="M142" s="9">
        <v>20364042650</v>
      </c>
      <c r="N142" s="3">
        <v>22927270444.164532</v>
      </c>
      <c r="O142">
        <v>244206</v>
      </c>
      <c r="P142" s="10">
        <v>22.927270444164531</v>
      </c>
      <c r="Q142" s="10">
        <v>176.33579078025377</v>
      </c>
      <c r="R142" s="3">
        <f t="shared" si="6"/>
        <v>4271820897411.1313</v>
      </c>
      <c r="S142" s="2">
        <f t="shared" si="7"/>
        <v>0.53670954365290069</v>
      </c>
      <c r="T142" s="11">
        <f t="shared" si="8"/>
        <v>5.3670954365290071E-3</v>
      </c>
    </row>
    <row r="143" spans="1:20" x14ac:dyDescent="0.3">
      <c r="A143" t="s">
        <v>33</v>
      </c>
      <c r="B143" s="3">
        <v>81</v>
      </c>
      <c r="C143">
        <v>2017</v>
      </c>
      <c r="D143" s="2">
        <v>4366.7636598478839</v>
      </c>
      <c r="E143" s="2">
        <v>4167.6273358496519</v>
      </c>
      <c r="F143" s="11">
        <v>0.56748092033360775</v>
      </c>
      <c r="G143" s="5">
        <v>0.10550000000000001</v>
      </c>
      <c r="H143">
        <v>0.49700000000000005</v>
      </c>
      <c r="J143" s="3">
        <v>165309073994</v>
      </c>
      <c r="K143" s="3">
        <v>181689189714.38565</v>
      </c>
      <c r="L143" s="6">
        <v>25662</v>
      </c>
      <c r="M143" s="9">
        <v>19718812000</v>
      </c>
      <c r="N143" s="3">
        <v>21672706088.356289</v>
      </c>
      <c r="O143">
        <v>250502</v>
      </c>
      <c r="P143" s="10">
        <v>21.672706088356289</v>
      </c>
      <c r="Q143" s="10">
        <v>181.68918971438566</v>
      </c>
      <c r="R143" s="3">
        <f t="shared" si="6"/>
        <v>4167627335849.6519</v>
      </c>
      <c r="S143" s="2">
        <f t="shared" si="7"/>
        <v>0.52002504883124068</v>
      </c>
      <c r="T143" s="11">
        <f t="shared" si="8"/>
        <v>5.200250488312407E-3</v>
      </c>
    </row>
    <row r="144" spans="1:20" x14ac:dyDescent="0.3">
      <c r="A144" t="s">
        <v>33</v>
      </c>
      <c r="B144" s="3">
        <v>81</v>
      </c>
      <c r="C144">
        <v>2018</v>
      </c>
      <c r="D144" s="2">
        <v>5078.0303088027104</v>
      </c>
      <c r="E144" s="2">
        <v>4294.7792691892109</v>
      </c>
      <c r="F144" s="11">
        <v>0.62191823693603232</v>
      </c>
      <c r="G144" s="5">
        <v>8.77E-2</v>
      </c>
      <c r="H144">
        <v>0.504</v>
      </c>
      <c r="J144" s="3">
        <v>173978446097</v>
      </c>
      <c r="K144" s="3">
        <v>187593885114.24194</v>
      </c>
      <c r="L144" s="3">
        <v>25002</v>
      </c>
      <c r="M144" s="9">
        <v>19183174300</v>
      </c>
      <c r="N144" s="3">
        <v>20684436931.654675</v>
      </c>
      <c r="O144">
        <v>262174</v>
      </c>
      <c r="P144" s="10">
        <v>20.684436931654673</v>
      </c>
      <c r="Q144" s="10">
        <v>187.59388511424194</v>
      </c>
      <c r="R144" s="3">
        <f t="shared" si="6"/>
        <v>4294779269189.2109</v>
      </c>
      <c r="S144" s="2">
        <f t="shared" si="7"/>
        <v>0.48161816091562681</v>
      </c>
      <c r="T144" s="11">
        <f t="shared" si="8"/>
        <v>4.8161816091562681E-3</v>
      </c>
    </row>
    <row r="145" spans="1:20" x14ac:dyDescent="0.3">
      <c r="A145" t="s">
        <v>34</v>
      </c>
      <c r="B145" s="3">
        <v>18</v>
      </c>
      <c r="C145">
        <v>2008</v>
      </c>
      <c r="D145" s="2">
        <v>1746.3272870008275</v>
      </c>
      <c r="E145" s="2">
        <v>2460.5077029920194</v>
      </c>
      <c r="F145" s="11">
        <v>0.53640386715203925</v>
      </c>
      <c r="G145" s="5">
        <v>0.22739999999999999</v>
      </c>
      <c r="H145">
        <v>0.55500000000000005</v>
      </c>
      <c r="I145" s="4">
        <v>0.48699999999999999</v>
      </c>
      <c r="J145" s="3">
        <v>131604648573</v>
      </c>
      <c r="K145" s="3">
        <v>212734595680.93777</v>
      </c>
      <c r="L145" s="3">
        <v>36067</v>
      </c>
      <c r="M145" s="3">
        <v>22484810000</v>
      </c>
      <c r="N145" s="3">
        <v>36345957503.616989</v>
      </c>
      <c r="O145" s="3">
        <v>386392</v>
      </c>
      <c r="P145" s="10">
        <v>36.345957503616987</v>
      </c>
      <c r="Q145" s="10">
        <v>212.73459568093779</v>
      </c>
      <c r="R145" s="3">
        <f t="shared" si="6"/>
        <v>2460507702992.0195</v>
      </c>
      <c r="S145" s="2">
        <f t="shared" si="7"/>
        <v>1.4771730834014329</v>
      </c>
      <c r="T145" s="11">
        <f t="shared" si="8"/>
        <v>1.477173083401433E-2</v>
      </c>
    </row>
    <row r="146" spans="1:20" x14ac:dyDescent="0.3">
      <c r="A146" t="s">
        <v>34</v>
      </c>
      <c r="B146" s="3">
        <v>18</v>
      </c>
      <c r="C146">
        <v>2009</v>
      </c>
      <c r="D146" s="2">
        <v>1904.369198852417</v>
      </c>
      <c r="E146" s="2">
        <v>2543.6996539814345</v>
      </c>
      <c r="F146" s="11">
        <v>0.55678147653754506</v>
      </c>
      <c r="G146" s="5">
        <v>0.24170000000000003</v>
      </c>
      <c r="H146">
        <v>0.54400000000000004</v>
      </c>
      <c r="I146" s="4">
        <v>0.48499999999999999</v>
      </c>
      <c r="J146" s="3">
        <v>141648196572</v>
      </c>
      <c r="K146" s="3">
        <v>217037319021.30411</v>
      </c>
      <c r="L146" s="3">
        <v>46286</v>
      </c>
      <c r="M146" s="3">
        <v>29516841000</v>
      </c>
      <c r="N146" s="3">
        <v>45226527351.951134</v>
      </c>
      <c r="O146" s="3">
        <v>388552</v>
      </c>
      <c r="P146" s="10">
        <v>45.226527351951134</v>
      </c>
      <c r="Q146" s="10">
        <v>217.03731902130411</v>
      </c>
      <c r="R146" s="3">
        <f t="shared" si="6"/>
        <v>2543699653981.4346</v>
      </c>
      <c r="S146" s="2">
        <f t="shared" si="7"/>
        <v>1.7779822111137191</v>
      </c>
      <c r="T146" s="11">
        <f t="shared" si="8"/>
        <v>1.777982211113719E-2</v>
      </c>
    </row>
    <row r="147" spans="1:20" x14ac:dyDescent="0.3">
      <c r="A147" t="s">
        <v>34</v>
      </c>
      <c r="B147" s="3">
        <v>18</v>
      </c>
      <c r="C147">
        <v>2010</v>
      </c>
      <c r="D147" s="2">
        <v>1972.1308924390798</v>
      </c>
      <c r="E147" s="2">
        <v>2573.3103484013959</v>
      </c>
      <c r="F147" s="11">
        <v>0.73754399464086196</v>
      </c>
      <c r="G147" s="5">
        <v>0.191</v>
      </c>
      <c r="H147">
        <v>0.54700000000000004</v>
      </c>
      <c r="I147" s="4">
        <v>0.45</v>
      </c>
      <c r="J147" s="3">
        <v>144964845472</v>
      </c>
      <c r="K147" s="3">
        <v>211845178460.27115</v>
      </c>
      <c r="L147" s="3">
        <v>44468</v>
      </c>
      <c r="M147" s="3">
        <v>31227278000</v>
      </c>
      <c r="N147" s="3">
        <v>45634155365.041626</v>
      </c>
      <c r="O147" s="3">
        <v>390645</v>
      </c>
      <c r="P147" s="10">
        <v>45.634155365041629</v>
      </c>
      <c r="Q147" s="10">
        <v>211.84517846027114</v>
      </c>
      <c r="R147" s="3">
        <f t="shared" si="6"/>
        <v>2573310348401.396</v>
      </c>
      <c r="S147" s="2">
        <f t="shared" si="7"/>
        <v>1.773363846043315</v>
      </c>
      <c r="T147" s="11">
        <f t="shared" si="8"/>
        <v>1.7733638460433149E-2</v>
      </c>
    </row>
    <row r="148" spans="1:20" x14ac:dyDescent="0.3">
      <c r="A148" t="s">
        <v>34</v>
      </c>
      <c r="B148" s="3">
        <v>18</v>
      </c>
      <c r="C148">
        <v>2011</v>
      </c>
      <c r="D148" s="2">
        <v>2165.8009058593962</v>
      </c>
      <c r="E148" s="2">
        <v>2663.5524647288967</v>
      </c>
      <c r="F148" s="11">
        <v>0.66542848096096108</v>
      </c>
      <c r="G148" s="5">
        <v>0.20569999999999999</v>
      </c>
      <c r="H148">
        <v>0.53500000000000003</v>
      </c>
      <c r="I148" s="4">
        <v>0.45900000000000002</v>
      </c>
      <c r="J148" s="3">
        <v>151730120876</v>
      </c>
      <c r="K148" s="3">
        <v>212218411922.84512</v>
      </c>
      <c r="L148" s="3">
        <v>41005</v>
      </c>
      <c r="M148" s="3">
        <v>24218460000</v>
      </c>
      <c r="N148" s="3">
        <v>33873321201.775349</v>
      </c>
      <c r="O148" s="3">
        <v>392611</v>
      </c>
      <c r="P148" s="10">
        <v>33.873321201775347</v>
      </c>
      <c r="Q148" s="10">
        <v>212.21841192284512</v>
      </c>
      <c r="R148" s="3">
        <f t="shared" si="6"/>
        <v>2663552464728.8965</v>
      </c>
      <c r="S148" s="2">
        <f t="shared" si="7"/>
        <v>1.2717347095779119</v>
      </c>
      <c r="T148" s="11">
        <f t="shared" si="8"/>
        <v>1.2717347095779119E-2</v>
      </c>
    </row>
    <row r="149" spans="1:20" x14ac:dyDescent="0.3">
      <c r="A149" t="s">
        <v>34</v>
      </c>
      <c r="B149" s="3">
        <v>18</v>
      </c>
      <c r="C149">
        <v>2012</v>
      </c>
      <c r="D149" s="2">
        <v>2554.3054104443668</v>
      </c>
      <c r="E149" s="2">
        <v>2982.2199380103848</v>
      </c>
      <c r="F149" s="11">
        <v>0.71149344022729044</v>
      </c>
      <c r="G149" s="5">
        <v>0.2011</v>
      </c>
      <c r="H149">
        <v>0.52700000000000002</v>
      </c>
      <c r="I149" s="4">
        <v>0.47899999999999998</v>
      </c>
      <c r="J149" s="3">
        <v>158262467528</v>
      </c>
      <c r="K149" s="3">
        <v>209437463757.84647</v>
      </c>
      <c r="L149" s="3">
        <v>37889</v>
      </c>
      <c r="M149" s="3">
        <v>21299500000</v>
      </c>
      <c r="N149" s="3">
        <v>28186804673.199097</v>
      </c>
      <c r="O149" s="3">
        <v>394379</v>
      </c>
      <c r="P149" s="10">
        <v>28.186804673199095</v>
      </c>
      <c r="Q149" s="10">
        <v>209.43746375784647</v>
      </c>
      <c r="R149" s="3">
        <f t="shared" si="6"/>
        <v>2982219938010.3848</v>
      </c>
      <c r="S149" s="2">
        <f t="shared" si="7"/>
        <v>0.94516183444216995</v>
      </c>
      <c r="T149" s="11">
        <f t="shared" si="8"/>
        <v>9.4516183444216997E-3</v>
      </c>
    </row>
    <row r="150" spans="1:20" x14ac:dyDescent="0.3">
      <c r="A150" t="s">
        <v>34</v>
      </c>
      <c r="B150" s="3">
        <v>18</v>
      </c>
      <c r="C150">
        <v>2013</v>
      </c>
      <c r="D150" s="2">
        <v>2835.5841189650491</v>
      </c>
      <c r="E150" s="2">
        <v>3155.6540053273006</v>
      </c>
      <c r="F150" s="11">
        <v>0.71071720184569254</v>
      </c>
      <c r="G150" s="5">
        <v>0.2087</v>
      </c>
      <c r="H150">
        <v>0.52800000000000002</v>
      </c>
      <c r="I150" s="4">
        <v>0.46700000000000003</v>
      </c>
      <c r="J150" s="3">
        <v>164781853369</v>
      </c>
      <c r="K150" s="3">
        <v>202516897790.50101</v>
      </c>
      <c r="L150" s="3">
        <v>43693</v>
      </c>
      <c r="M150" s="3">
        <v>33323475000</v>
      </c>
      <c r="N150" s="3">
        <v>40954550775</v>
      </c>
      <c r="O150" s="3">
        <v>395947</v>
      </c>
      <c r="P150" s="10">
        <v>40.954550775000001</v>
      </c>
      <c r="Q150" s="10">
        <v>202.51689779050102</v>
      </c>
      <c r="R150" s="3">
        <f t="shared" si="6"/>
        <v>3155654005327.3008</v>
      </c>
      <c r="S150" s="2">
        <f t="shared" si="7"/>
        <v>1.2978149919433972</v>
      </c>
      <c r="T150" s="11">
        <f t="shared" si="8"/>
        <v>1.2978149919433973E-2</v>
      </c>
    </row>
    <row r="151" spans="1:20" x14ac:dyDescent="0.3">
      <c r="A151" t="s">
        <v>34</v>
      </c>
      <c r="B151" s="3">
        <v>18</v>
      </c>
      <c r="C151">
        <v>2014</v>
      </c>
      <c r="D151" s="2">
        <v>3175.1891591617896</v>
      </c>
      <c r="E151" s="2">
        <v>3323.4479403737482</v>
      </c>
      <c r="F151" s="11">
        <v>0.65937816260896709</v>
      </c>
      <c r="G151" s="5">
        <v>0.22289999999999999</v>
      </c>
      <c r="H151">
        <v>0.52700000000000002</v>
      </c>
      <c r="I151" s="4">
        <v>0.47199999999999998</v>
      </c>
      <c r="J151" s="3">
        <v>169461223698</v>
      </c>
      <c r="K151" s="3">
        <v>204184160710.62939</v>
      </c>
      <c r="L151" s="3">
        <v>44996</v>
      </c>
      <c r="M151" s="3">
        <v>38011108200</v>
      </c>
      <c r="N151" s="3">
        <v>45799658801.764702</v>
      </c>
      <c r="O151" s="3">
        <v>397383</v>
      </c>
      <c r="P151" s="10">
        <v>45.7996588017647</v>
      </c>
      <c r="Q151" s="10">
        <v>204.18416071062938</v>
      </c>
      <c r="R151" s="3">
        <f t="shared" si="6"/>
        <v>3323447940373.748</v>
      </c>
      <c r="S151" s="2">
        <f t="shared" si="7"/>
        <v>1.3780766127064463</v>
      </c>
      <c r="T151" s="11">
        <f t="shared" si="8"/>
        <v>1.3780766127064463E-2</v>
      </c>
    </row>
    <row r="152" spans="1:20" x14ac:dyDescent="0.3">
      <c r="A152" t="s">
        <v>34</v>
      </c>
      <c r="B152" s="3">
        <v>18</v>
      </c>
      <c r="C152">
        <v>2015</v>
      </c>
      <c r="D152" s="2">
        <v>3349.8674772843992</v>
      </c>
      <c r="E152" s="2">
        <v>3349.8674772843992</v>
      </c>
      <c r="F152" s="11">
        <v>0.72493331981189346</v>
      </c>
      <c r="G152" s="5">
        <v>0.23170000000000002</v>
      </c>
      <c r="H152">
        <v>0.51100000000000001</v>
      </c>
      <c r="I152" s="4">
        <v>0.48299999999999998</v>
      </c>
      <c r="J152" s="3">
        <v>168654888449</v>
      </c>
      <c r="K152" s="3">
        <v>196956345404.61896</v>
      </c>
      <c r="L152" s="3">
        <v>45129</v>
      </c>
      <c r="M152" s="3">
        <v>37561767300</v>
      </c>
      <c r="N152" s="3">
        <v>43864891687.286201</v>
      </c>
      <c r="O152" s="3">
        <v>398725</v>
      </c>
      <c r="P152" s="10">
        <v>43.864891687286203</v>
      </c>
      <c r="Q152" s="10">
        <v>196.95634540461896</v>
      </c>
      <c r="R152" s="3">
        <f t="shared" si="6"/>
        <v>3349867477284.3994</v>
      </c>
      <c r="S152" s="2">
        <f t="shared" si="7"/>
        <v>1.3094515524788961</v>
      </c>
      <c r="T152" s="11">
        <f t="shared" si="8"/>
        <v>1.3094515524788962E-2</v>
      </c>
    </row>
    <row r="153" spans="1:20" x14ac:dyDescent="0.3">
      <c r="A153" t="s">
        <v>34</v>
      </c>
      <c r="B153" s="3">
        <v>18</v>
      </c>
      <c r="C153">
        <v>2016</v>
      </c>
      <c r="D153" s="2">
        <v>3665.7004385962568</v>
      </c>
      <c r="E153" s="2">
        <v>3426.8095046940543</v>
      </c>
      <c r="F153" s="11">
        <v>0.72840000000000005</v>
      </c>
      <c r="G153" s="5">
        <v>0.23499999999999999</v>
      </c>
      <c r="H153">
        <v>0.50800000000000001</v>
      </c>
      <c r="I153" s="4">
        <v>0.47</v>
      </c>
      <c r="J153" s="3">
        <v>188416357041</v>
      </c>
      <c r="K153" s="3">
        <v>212132377064.29922</v>
      </c>
      <c r="L153" s="3">
        <v>44653</v>
      </c>
      <c r="M153" s="3">
        <v>38441803750</v>
      </c>
      <c r="N153" s="3">
        <v>43280484434.545631</v>
      </c>
      <c r="O153" s="3">
        <v>399983</v>
      </c>
      <c r="P153" s="10">
        <v>43.280484434545635</v>
      </c>
      <c r="Q153" s="10">
        <v>212.13237706429922</v>
      </c>
      <c r="R153" s="3">
        <f t="shared" si="6"/>
        <v>3426809504694.0542</v>
      </c>
      <c r="S153" s="2">
        <f t="shared" si="7"/>
        <v>1.2629965095888724</v>
      </c>
      <c r="T153" s="11">
        <f t="shared" si="8"/>
        <v>1.2629965095888724E-2</v>
      </c>
    </row>
    <row r="154" spans="1:20" x14ac:dyDescent="0.3">
      <c r="A154" t="s">
        <v>34</v>
      </c>
      <c r="B154" s="3">
        <v>18</v>
      </c>
      <c r="C154">
        <v>2017</v>
      </c>
      <c r="D154" s="2">
        <v>3866.2745722036757</v>
      </c>
      <c r="E154" s="2">
        <v>3453.8970974461545</v>
      </c>
      <c r="F154" s="11">
        <v>0.74511075928361659</v>
      </c>
      <c r="G154" s="5">
        <v>0.2369</v>
      </c>
      <c r="H154">
        <v>0.49700000000000005</v>
      </c>
      <c r="I154" s="4">
        <v>0.45700000000000002</v>
      </c>
      <c r="J154" s="3">
        <v>200050697324</v>
      </c>
      <c r="K154" s="3">
        <v>219873284753.35004</v>
      </c>
      <c r="L154" s="3">
        <v>45758</v>
      </c>
      <c r="M154" s="3">
        <v>36568273950</v>
      </c>
      <c r="N154" s="3">
        <v>40191744486.272583</v>
      </c>
      <c r="O154" s="3">
        <v>401099</v>
      </c>
      <c r="P154" s="10">
        <v>40.191744486272583</v>
      </c>
      <c r="Q154" s="10">
        <v>219.87328475335005</v>
      </c>
      <c r="R154" s="3">
        <f t="shared" si="6"/>
        <v>3453897097446.1543</v>
      </c>
      <c r="S154" s="2">
        <f t="shared" si="7"/>
        <v>1.1636636342174398</v>
      </c>
      <c r="T154" s="11">
        <f t="shared" si="8"/>
        <v>1.1636636342174399E-2</v>
      </c>
    </row>
    <row r="155" spans="1:20" x14ac:dyDescent="0.3">
      <c r="A155" t="s">
        <v>34</v>
      </c>
      <c r="B155" s="3">
        <v>18</v>
      </c>
      <c r="C155">
        <v>2018</v>
      </c>
      <c r="D155" s="2">
        <v>4063.6575530670912</v>
      </c>
      <c r="E155" s="2">
        <v>3530.1036003923605</v>
      </c>
      <c r="F155" s="11">
        <v>0.74448360694968485</v>
      </c>
      <c r="G155" s="5">
        <v>0.2225</v>
      </c>
      <c r="H155">
        <v>0.504</v>
      </c>
      <c r="I155" s="4">
        <v>0.47899999999999998</v>
      </c>
      <c r="J155" s="3">
        <v>206035399560</v>
      </c>
      <c r="K155" s="3">
        <v>222159594717.70483</v>
      </c>
      <c r="L155" s="3">
        <v>43693</v>
      </c>
      <c r="M155" s="3">
        <v>34484254100</v>
      </c>
      <c r="N155" s="3">
        <v>37182969195.385155</v>
      </c>
      <c r="O155" s="3">
        <v>401849</v>
      </c>
      <c r="P155" s="10">
        <v>37.182969195385155</v>
      </c>
      <c r="Q155" s="10">
        <v>222.15959471770483</v>
      </c>
      <c r="R155" s="3">
        <f t="shared" si="6"/>
        <v>3530103600392.3604</v>
      </c>
      <c r="S155" s="2">
        <f t="shared" si="7"/>
        <v>1.0533109903984796</v>
      </c>
      <c r="T155" s="11">
        <f t="shared" si="8"/>
        <v>1.0533109903984796E-2</v>
      </c>
    </row>
    <row r="156" spans="1:20" x14ac:dyDescent="0.3">
      <c r="A156" t="s">
        <v>35</v>
      </c>
      <c r="B156" s="3">
        <v>85</v>
      </c>
      <c r="C156">
        <v>2008</v>
      </c>
      <c r="D156" s="2">
        <v>9909.7989215563339</v>
      </c>
      <c r="E156" s="2">
        <v>8980.9522652078049</v>
      </c>
      <c r="F156" s="11">
        <v>0.66109981098433723</v>
      </c>
      <c r="G156" s="5">
        <v>0.26280000000000003</v>
      </c>
      <c r="H156">
        <v>0.55500000000000005</v>
      </c>
      <c r="I156" s="1"/>
      <c r="J156" s="3">
        <v>126171183521</v>
      </c>
      <c r="K156" s="3">
        <v>203951577728.9346</v>
      </c>
      <c r="L156" s="6">
        <v>22563</v>
      </c>
      <c r="M156" s="9">
        <v>13584527000</v>
      </c>
      <c r="N156" s="9">
        <v>21958942105.74773</v>
      </c>
      <c r="O156">
        <v>347362</v>
      </c>
      <c r="P156" s="10">
        <v>21.958942105747731</v>
      </c>
      <c r="Q156" s="10">
        <v>203.95157772893461</v>
      </c>
      <c r="R156" s="3">
        <f t="shared" si="6"/>
        <v>8980952265207.8047</v>
      </c>
      <c r="S156" s="2">
        <f t="shared" si="7"/>
        <v>0.24450572118968539</v>
      </c>
      <c r="T156" s="11">
        <f t="shared" si="8"/>
        <v>2.4450572118968538E-3</v>
      </c>
    </row>
    <row r="157" spans="1:20" x14ac:dyDescent="0.3">
      <c r="A157" t="s">
        <v>35</v>
      </c>
      <c r="B157" s="3">
        <v>85</v>
      </c>
      <c r="C157">
        <v>2009</v>
      </c>
      <c r="D157" s="2">
        <v>9165.2345100628481</v>
      </c>
      <c r="E157" s="2">
        <v>9261.1943633379615</v>
      </c>
      <c r="F157" s="11">
        <v>0.52873528112619927</v>
      </c>
      <c r="G157" s="5">
        <v>0.25670000000000004</v>
      </c>
      <c r="H157">
        <v>0.54400000000000004</v>
      </c>
      <c r="J157" s="3">
        <v>138802522479</v>
      </c>
      <c r="K157" s="3">
        <v>212677097776.69992</v>
      </c>
      <c r="L157" s="6">
        <v>33436</v>
      </c>
      <c r="M157" s="9">
        <v>18773205000</v>
      </c>
      <c r="N157" s="3">
        <v>28764828506.42065</v>
      </c>
      <c r="O157">
        <v>354621</v>
      </c>
      <c r="P157" s="10">
        <v>28.764828506420649</v>
      </c>
      <c r="Q157" s="10">
        <v>212.67709777669992</v>
      </c>
      <c r="R157" s="3">
        <f t="shared" si="6"/>
        <v>9261194363337.9609</v>
      </c>
      <c r="S157" s="2">
        <f t="shared" si="7"/>
        <v>0.31059523618563928</v>
      </c>
      <c r="T157" s="11">
        <f t="shared" si="8"/>
        <v>3.1059523618563929E-3</v>
      </c>
    </row>
    <row r="158" spans="1:20" x14ac:dyDescent="0.3">
      <c r="A158" t="s">
        <v>35</v>
      </c>
      <c r="B158" s="3">
        <v>85</v>
      </c>
      <c r="C158">
        <v>2010</v>
      </c>
      <c r="D158" s="2">
        <v>10453.855352838613</v>
      </c>
      <c r="E158" s="2">
        <v>9780.5959483540646</v>
      </c>
      <c r="F158" s="11">
        <v>0.67305509927795759</v>
      </c>
      <c r="G158" s="5">
        <v>0.23850000000000002</v>
      </c>
      <c r="H158">
        <v>0.54700000000000004</v>
      </c>
      <c r="J158" s="3">
        <v>107103270837</v>
      </c>
      <c r="K158" s="3">
        <v>156515957025.77054</v>
      </c>
      <c r="L158" s="6">
        <v>32443</v>
      </c>
      <c r="M158" s="9">
        <v>21421255000</v>
      </c>
      <c r="N158" s="3">
        <v>31304069435.196201</v>
      </c>
      <c r="O158">
        <v>361824</v>
      </c>
      <c r="P158" s="10">
        <v>31.304069435196201</v>
      </c>
      <c r="Q158" s="10">
        <v>156.51595702577055</v>
      </c>
      <c r="R158" s="3">
        <f t="shared" si="6"/>
        <v>9780595948354.0645</v>
      </c>
      <c r="S158" s="2">
        <f t="shared" si="7"/>
        <v>0.3200630063903645</v>
      </c>
      <c r="T158" s="11">
        <f t="shared" si="8"/>
        <v>3.2006300639036448E-3</v>
      </c>
    </row>
    <row r="159" spans="1:20" x14ac:dyDescent="0.3">
      <c r="A159" t="s">
        <v>35</v>
      </c>
      <c r="B159" s="3">
        <v>85</v>
      </c>
      <c r="C159">
        <v>2011</v>
      </c>
      <c r="D159" s="2">
        <v>14433.358067031148</v>
      </c>
      <c r="E159" s="2">
        <v>11275.70955042019</v>
      </c>
      <c r="F159" s="11">
        <v>0.71383449105792363</v>
      </c>
      <c r="G159" s="5">
        <v>0.26590000000000003</v>
      </c>
      <c r="H159">
        <v>0.53500000000000003</v>
      </c>
      <c r="J159" s="3">
        <v>114631294825</v>
      </c>
      <c r="K159" s="3">
        <v>160329875201.9176</v>
      </c>
      <c r="L159" s="6">
        <v>30205</v>
      </c>
      <c r="M159" s="9">
        <v>17482295000</v>
      </c>
      <c r="N159" s="3">
        <v>24451736149.994308</v>
      </c>
      <c r="O159">
        <v>368912</v>
      </c>
      <c r="P159" s="10">
        <v>24.451736149994307</v>
      </c>
      <c r="Q159" s="10">
        <v>160.32987520191762</v>
      </c>
      <c r="R159" s="3">
        <f t="shared" si="6"/>
        <v>11275709550420.189</v>
      </c>
      <c r="S159" s="2">
        <f t="shared" si="7"/>
        <v>0.21685319261423433</v>
      </c>
      <c r="T159" s="11">
        <f t="shared" si="8"/>
        <v>2.1685319261423434E-3</v>
      </c>
    </row>
    <row r="160" spans="1:20" x14ac:dyDescent="0.3">
      <c r="A160" t="s">
        <v>35</v>
      </c>
      <c r="B160" s="3">
        <v>85</v>
      </c>
      <c r="C160">
        <v>2012</v>
      </c>
      <c r="D160" s="2">
        <v>15729.475800269538</v>
      </c>
      <c r="E160" s="2">
        <v>11991.720774962161</v>
      </c>
      <c r="F160" s="11">
        <v>0.72593014179836557</v>
      </c>
      <c r="G160" s="5">
        <v>0.28460000000000002</v>
      </c>
      <c r="H160">
        <v>0.52700000000000002</v>
      </c>
      <c r="J160" s="3">
        <v>115463463545</v>
      </c>
      <c r="K160" s="3">
        <v>152799178094.97684</v>
      </c>
      <c r="L160" s="6">
        <v>28241</v>
      </c>
      <c r="M160" s="9">
        <v>15120415000</v>
      </c>
      <c r="N160" s="3">
        <v>20009680235.813503</v>
      </c>
      <c r="O160">
        <v>375872</v>
      </c>
      <c r="P160" s="10">
        <v>20.009680235813502</v>
      </c>
      <c r="Q160" s="10">
        <v>152.79917809497684</v>
      </c>
      <c r="R160" s="3">
        <f t="shared" si="6"/>
        <v>11991720774962.162</v>
      </c>
      <c r="S160" s="2">
        <f t="shared" si="7"/>
        <v>0.16686245961957566</v>
      </c>
      <c r="T160" s="11">
        <f t="shared" si="8"/>
        <v>1.6686245961957567E-3</v>
      </c>
    </row>
    <row r="161" spans="1:20" x14ac:dyDescent="0.3">
      <c r="A161" t="s">
        <v>35</v>
      </c>
      <c r="B161" s="3">
        <v>85</v>
      </c>
      <c r="C161">
        <v>2013</v>
      </c>
      <c r="D161" s="2">
        <v>16781.103513794766</v>
      </c>
      <c r="E161" s="2">
        <v>12666.649388259922</v>
      </c>
      <c r="F161" s="11">
        <v>0.7040015261798015</v>
      </c>
      <c r="G161" s="5">
        <v>0.2465</v>
      </c>
      <c r="H161">
        <v>0.52800000000000002</v>
      </c>
      <c r="J161" s="3">
        <v>124361693540</v>
      </c>
      <c r="K161" s="3">
        <v>152840521360.66</v>
      </c>
      <c r="L161" s="6">
        <v>34848</v>
      </c>
      <c r="M161" s="9">
        <v>23683930000</v>
      </c>
      <c r="N161" s="3">
        <v>29107549970.000004</v>
      </c>
      <c r="O161">
        <v>382735</v>
      </c>
      <c r="P161" s="10">
        <v>29.107549970000004</v>
      </c>
      <c r="Q161" s="10">
        <v>152.84052136066001</v>
      </c>
      <c r="R161" s="3">
        <f t="shared" si="6"/>
        <v>12666649388259.922</v>
      </c>
      <c r="S161" s="2">
        <f t="shared" si="7"/>
        <v>0.22979676059383408</v>
      </c>
      <c r="T161" s="11">
        <f t="shared" si="8"/>
        <v>2.2979676059383409E-3</v>
      </c>
    </row>
    <row r="162" spans="1:20" x14ac:dyDescent="0.3">
      <c r="A162" t="s">
        <v>35</v>
      </c>
      <c r="B162" s="3">
        <v>85</v>
      </c>
      <c r="C162">
        <v>2014</v>
      </c>
      <c r="D162" s="2">
        <v>16687.927686124964</v>
      </c>
      <c r="E162" s="2">
        <v>13429.612168509564</v>
      </c>
      <c r="F162" s="11">
        <v>0.7314474084708017</v>
      </c>
      <c r="G162" s="5">
        <v>0.26090000000000002</v>
      </c>
      <c r="H162">
        <v>0.52700000000000002</v>
      </c>
      <c r="J162" s="3">
        <v>129785511120</v>
      </c>
      <c r="K162" s="3">
        <v>156378816829.88235</v>
      </c>
      <c r="L162" s="6">
        <v>34736</v>
      </c>
      <c r="M162" s="9">
        <v>26058353000</v>
      </c>
      <c r="N162" s="3">
        <v>31397760624.509804</v>
      </c>
      <c r="O162">
        <v>389511</v>
      </c>
      <c r="P162" s="10">
        <v>31.397760624509804</v>
      </c>
      <c r="Q162" s="10">
        <v>156.37881682988237</v>
      </c>
      <c r="R162" s="3">
        <f t="shared" si="6"/>
        <v>13429612168509.564</v>
      </c>
      <c r="S162" s="2">
        <f t="shared" si="7"/>
        <v>0.23379499147512883</v>
      </c>
      <c r="T162" s="11">
        <f t="shared" si="8"/>
        <v>2.3379499147512884E-3</v>
      </c>
    </row>
    <row r="163" spans="1:20" x14ac:dyDescent="0.3">
      <c r="A163" t="s">
        <v>35</v>
      </c>
      <c r="B163" s="3">
        <v>85</v>
      </c>
      <c r="C163">
        <v>2015</v>
      </c>
      <c r="D163" s="2">
        <v>13304.992649276586</v>
      </c>
      <c r="E163" s="2">
        <v>13304.992649276586</v>
      </c>
      <c r="F163" s="11">
        <v>0.7036222906363514</v>
      </c>
      <c r="G163" s="5">
        <v>0.26519999999999999</v>
      </c>
      <c r="H163">
        <v>0.51100000000000001</v>
      </c>
      <c r="J163" s="3">
        <v>141331559588</v>
      </c>
      <c r="K163" s="3">
        <v>165047972951.01862</v>
      </c>
      <c r="L163" s="6">
        <v>33399</v>
      </c>
      <c r="M163" s="9">
        <v>25831560550</v>
      </c>
      <c r="N163" s="3">
        <v>30166275100.674648</v>
      </c>
      <c r="O163">
        <v>396320</v>
      </c>
      <c r="P163" s="10">
        <v>30.16627510067465</v>
      </c>
      <c r="Q163" s="10">
        <v>165.04797295101861</v>
      </c>
      <c r="R163" s="3">
        <f t="shared" si="6"/>
        <v>13304992649276.586</v>
      </c>
      <c r="S163" s="2">
        <f t="shared" si="7"/>
        <v>0.22672898734983396</v>
      </c>
      <c r="T163" s="11">
        <f t="shared" si="8"/>
        <v>2.2672898734983397E-3</v>
      </c>
    </row>
    <row r="164" spans="1:20" x14ac:dyDescent="0.3">
      <c r="A164" t="s">
        <v>35</v>
      </c>
      <c r="B164" s="3">
        <v>85</v>
      </c>
      <c r="C164">
        <v>2016</v>
      </c>
      <c r="D164" s="2">
        <v>11667.468808624273</v>
      </c>
      <c r="E164" s="2">
        <v>12937.903304520642</v>
      </c>
      <c r="F164" s="11">
        <v>0.71829999999999994</v>
      </c>
      <c r="G164" s="5">
        <v>0.28029999999999999</v>
      </c>
      <c r="H164">
        <v>0.50800000000000001</v>
      </c>
      <c r="J164" s="3">
        <v>153495715750</v>
      </c>
      <c r="K164" s="3">
        <v>172816264800.98026</v>
      </c>
      <c r="L164" s="6">
        <v>32680</v>
      </c>
      <c r="M164" s="9">
        <v>26118473750</v>
      </c>
      <c r="N164" s="3">
        <v>29406013410.360943</v>
      </c>
      <c r="O164">
        <v>403554</v>
      </c>
      <c r="P164" s="10">
        <v>29.406013410360941</v>
      </c>
      <c r="Q164" s="10">
        <v>172.81626480098026</v>
      </c>
      <c r="R164" s="3">
        <f t="shared" si="6"/>
        <v>12937903304520.641</v>
      </c>
      <c r="S164" s="2">
        <f t="shared" si="7"/>
        <v>0.22728577203144015</v>
      </c>
      <c r="T164" s="11">
        <f t="shared" si="8"/>
        <v>2.2728577203144015E-3</v>
      </c>
    </row>
    <row r="165" spans="1:20" x14ac:dyDescent="0.3">
      <c r="A165" t="s">
        <v>35</v>
      </c>
      <c r="B165" s="3">
        <v>85</v>
      </c>
      <c r="C165">
        <v>2017</v>
      </c>
      <c r="D165" s="2">
        <v>13145.422726425715</v>
      </c>
      <c r="E165" s="2">
        <v>12960.350388615432</v>
      </c>
      <c r="F165" s="11">
        <v>0.68675037568687469</v>
      </c>
      <c r="G165" s="5">
        <v>0.26989999999999997</v>
      </c>
      <c r="H165">
        <v>0.49700000000000005</v>
      </c>
      <c r="J165" s="3">
        <v>156187341105</v>
      </c>
      <c r="K165" s="3">
        <v>171663604201.43536</v>
      </c>
      <c r="L165" s="6">
        <v>33266</v>
      </c>
      <c r="M165" s="9">
        <v>26290384500</v>
      </c>
      <c r="N165" s="3">
        <v>28895441379.449116</v>
      </c>
      <c r="O165">
        <v>411255</v>
      </c>
      <c r="P165" s="10">
        <v>28.895441379449117</v>
      </c>
      <c r="Q165" s="10">
        <v>171.66360420143536</v>
      </c>
      <c r="R165" s="3">
        <f t="shared" si="6"/>
        <v>12960350388615.432</v>
      </c>
      <c r="S165" s="2">
        <f t="shared" si="7"/>
        <v>0.22295262483668118</v>
      </c>
      <c r="T165" s="11">
        <f t="shared" si="8"/>
        <v>2.2295262483668118E-3</v>
      </c>
    </row>
    <row r="166" spans="1:20" x14ac:dyDescent="0.3">
      <c r="A166" t="s">
        <v>35</v>
      </c>
      <c r="B166" s="3">
        <v>85</v>
      </c>
      <c r="C166">
        <v>2018</v>
      </c>
      <c r="D166" s="2">
        <v>15671.522976323726</v>
      </c>
      <c r="E166" s="2">
        <v>13316.363821288516</v>
      </c>
      <c r="F166" s="11">
        <v>0.73052021163275527</v>
      </c>
      <c r="G166" s="5">
        <v>0.2525</v>
      </c>
      <c r="H166">
        <v>0.504</v>
      </c>
      <c r="J166" s="3">
        <v>158730444157</v>
      </c>
      <c r="K166" s="3">
        <v>171152584549.00244</v>
      </c>
      <c r="L166" s="6">
        <v>31664</v>
      </c>
      <c r="M166" s="9">
        <v>24553479000</v>
      </c>
      <c r="N166" s="3">
        <v>26475018153.184769</v>
      </c>
      <c r="O166" s="3">
        <v>420504</v>
      </c>
      <c r="P166" s="10">
        <v>26.47501815318477</v>
      </c>
      <c r="Q166" s="10">
        <v>171.15258454900246</v>
      </c>
      <c r="R166" s="3">
        <f t="shared" si="6"/>
        <v>13316363821288.516</v>
      </c>
      <c r="S166" s="2">
        <f t="shared" si="7"/>
        <v>0.19881567151882606</v>
      </c>
      <c r="T166" s="11">
        <f t="shared" si="8"/>
        <v>1.9881567151882606E-3</v>
      </c>
    </row>
    <row r="167" spans="1:20" x14ac:dyDescent="0.3">
      <c r="A167" t="s">
        <v>36</v>
      </c>
      <c r="B167" s="3">
        <v>19</v>
      </c>
      <c r="C167">
        <v>2008</v>
      </c>
      <c r="D167" s="2">
        <v>7086.3194022204752</v>
      </c>
      <c r="E167" s="2">
        <v>9806.2017649933241</v>
      </c>
      <c r="F167" s="11">
        <v>0.49279189953695429</v>
      </c>
      <c r="G167" s="5">
        <v>0.2213</v>
      </c>
      <c r="H167">
        <v>0.55500000000000005</v>
      </c>
      <c r="I167" s="4">
        <v>0.59599999999999997</v>
      </c>
      <c r="J167" s="3">
        <v>387612912116</v>
      </c>
      <c r="K167" s="3">
        <v>626563552532.63708</v>
      </c>
      <c r="L167" s="3">
        <v>84126</v>
      </c>
      <c r="M167" s="3">
        <v>49372301000</v>
      </c>
      <c r="N167" s="3">
        <v>79808704365.38208</v>
      </c>
      <c r="O167" s="3">
        <v>1325083</v>
      </c>
      <c r="P167" s="10">
        <v>79.808704365382084</v>
      </c>
      <c r="Q167" s="10">
        <v>626.56355253263712</v>
      </c>
      <c r="R167" s="3">
        <f t="shared" si="6"/>
        <v>9806201764993.3242</v>
      </c>
      <c r="S167" s="2">
        <f t="shared" si="7"/>
        <v>0.81385949706120919</v>
      </c>
      <c r="T167" s="11">
        <f t="shared" si="8"/>
        <v>8.1385949706120914E-3</v>
      </c>
    </row>
    <row r="168" spans="1:20" x14ac:dyDescent="0.3">
      <c r="A168" t="s">
        <v>36</v>
      </c>
      <c r="B168" s="3">
        <v>19</v>
      </c>
      <c r="C168">
        <v>2009</v>
      </c>
      <c r="D168" s="2">
        <v>7646.2496248470734</v>
      </c>
      <c r="E168" s="2">
        <v>9839.7731507002518</v>
      </c>
      <c r="F168" s="11">
        <v>0.55331646860752504</v>
      </c>
      <c r="G168" s="5">
        <v>0.23739999999999997</v>
      </c>
      <c r="H168">
        <v>0.54400000000000004</v>
      </c>
      <c r="I168" s="4">
        <v>0.58899999999999997</v>
      </c>
      <c r="J168" s="3">
        <v>420497203757</v>
      </c>
      <c r="K168" s="3">
        <v>644297548207.64624</v>
      </c>
      <c r="L168" s="3">
        <v>128305</v>
      </c>
      <c r="M168" s="3">
        <v>72709141000</v>
      </c>
      <c r="N168" s="3">
        <v>111406974553.04826</v>
      </c>
      <c r="O168" s="3">
        <v>1339006</v>
      </c>
      <c r="P168" s="10">
        <v>111.40697455304826</v>
      </c>
      <c r="Q168" s="10">
        <v>644.29754820764629</v>
      </c>
      <c r="R168" s="3">
        <f t="shared" si="6"/>
        <v>9839773150700.252</v>
      </c>
      <c r="S168" s="2">
        <f t="shared" si="7"/>
        <v>1.1322108024931441</v>
      </c>
      <c r="T168" s="11">
        <f t="shared" si="8"/>
        <v>1.1322108024931441E-2</v>
      </c>
    </row>
    <row r="169" spans="1:20" x14ac:dyDescent="0.3">
      <c r="A169" t="s">
        <v>36</v>
      </c>
      <c r="B169" s="3">
        <v>19</v>
      </c>
      <c r="C169">
        <v>2010</v>
      </c>
      <c r="D169" s="2">
        <v>8503.3874499944195</v>
      </c>
      <c r="E169" s="2">
        <v>10527.986557692253</v>
      </c>
      <c r="F169" s="11">
        <v>0.71579975548767849</v>
      </c>
      <c r="G169" s="5">
        <v>0.26569999999999999</v>
      </c>
      <c r="H169">
        <v>0.54700000000000004</v>
      </c>
      <c r="I169" s="4">
        <v>0.56499999999999995</v>
      </c>
      <c r="J169" s="3">
        <v>475125627227</v>
      </c>
      <c r="K169" s="3">
        <v>694327462380.47925</v>
      </c>
      <c r="L169" s="3">
        <v>120416</v>
      </c>
      <c r="M169" s="3">
        <v>75700657000</v>
      </c>
      <c r="N169" s="3">
        <v>110625573665.87398</v>
      </c>
      <c r="O169" s="3">
        <v>1352942</v>
      </c>
      <c r="P169" s="10">
        <v>110.62557366587397</v>
      </c>
      <c r="Q169" s="10">
        <v>694.32746238047923</v>
      </c>
      <c r="R169" s="3">
        <f t="shared" si="6"/>
        <v>10527986557692.254</v>
      </c>
      <c r="S169" s="2">
        <f t="shared" si="7"/>
        <v>1.0507761675003813</v>
      </c>
      <c r="T169" s="11">
        <f t="shared" si="8"/>
        <v>1.0507761675003812E-2</v>
      </c>
    </row>
    <row r="170" spans="1:20" x14ac:dyDescent="0.3">
      <c r="A170" t="s">
        <v>36</v>
      </c>
      <c r="B170" s="3">
        <v>19</v>
      </c>
      <c r="C170">
        <v>2011</v>
      </c>
      <c r="D170" s="2">
        <v>9289.682643507489</v>
      </c>
      <c r="E170" s="2">
        <v>10924.128909033991</v>
      </c>
      <c r="F170" s="11">
        <v>0.75307015544074485</v>
      </c>
      <c r="G170" s="5">
        <v>0.26669999999999999</v>
      </c>
      <c r="H170">
        <v>0.53500000000000003</v>
      </c>
      <c r="I170" s="4">
        <v>0.55400000000000005</v>
      </c>
      <c r="J170" s="3">
        <v>514353210339</v>
      </c>
      <c r="K170" s="3">
        <v>719403773195.20996</v>
      </c>
      <c r="L170" s="3">
        <v>111381</v>
      </c>
      <c r="M170" s="3">
        <v>62639905000</v>
      </c>
      <c r="N170" s="3">
        <v>87611748315.693634</v>
      </c>
      <c r="O170" s="3">
        <v>1366758</v>
      </c>
      <c r="P170" s="10">
        <v>87.611748315693632</v>
      </c>
      <c r="Q170" s="10">
        <v>719.40377319520996</v>
      </c>
      <c r="R170" s="3">
        <f t="shared" si="6"/>
        <v>10924128909033.99</v>
      </c>
      <c r="S170" s="2">
        <f t="shared" si="7"/>
        <v>0.80200214630606237</v>
      </c>
      <c r="T170" s="11">
        <f t="shared" si="8"/>
        <v>8.0200214630606233E-3</v>
      </c>
    </row>
    <row r="171" spans="1:20" x14ac:dyDescent="0.3">
      <c r="A171" t="s">
        <v>36</v>
      </c>
      <c r="B171" s="3">
        <v>19</v>
      </c>
      <c r="C171">
        <v>2012</v>
      </c>
      <c r="D171" s="2">
        <v>10373.337586126505</v>
      </c>
      <c r="E171" s="2">
        <v>11911.127648817639</v>
      </c>
      <c r="F171" s="11">
        <v>0.72989090850080562</v>
      </c>
      <c r="G171" s="5">
        <v>0.24010000000000001</v>
      </c>
      <c r="H171">
        <v>0.52700000000000002</v>
      </c>
      <c r="I171" s="4">
        <v>0.56499999999999995</v>
      </c>
      <c r="J171" s="3">
        <v>545014430647</v>
      </c>
      <c r="K171" s="3">
        <v>721247695989.19238</v>
      </c>
      <c r="L171" s="3">
        <v>102969</v>
      </c>
      <c r="M171" s="3">
        <v>53880835000</v>
      </c>
      <c r="N171" s="3">
        <v>71303484672.12233</v>
      </c>
      <c r="O171" s="3">
        <v>1380257</v>
      </c>
      <c r="P171" s="10">
        <v>71.303484672122323</v>
      </c>
      <c r="Q171" s="10">
        <v>721.24769598919238</v>
      </c>
      <c r="R171" s="3">
        <f t="shared" si="6"/>
        <v>11911127648817.639</v>
      </c>
      <c r="S171" s="2">
        <f t="shared" si="7"/>
        <v>0.59862917075865851</v>
      </c>
      <c r="T171" s="11">
        <f t="shared" si="8"/>
        <v>5.9862917075865852E-3</v>
      </c>
    </row>
    <row r="172" spans="1:20" x14ac:dyDescent="0.3">
      <c r="A172" t="s">
        <v>36</v>
      </c>
      <c r="B172" s="3">
        <v>19</v>
      </c>
      <c r="C172">
        <v>2013</v>
      </c>
      <c r="D172" s="2">
        <v>11624.41262825716</v>
      </c>
      <c r="E172" s="2">
        <v>13290.911601372331</v>
      </c>
      <c r="F172" s="11">
        <v>0.66679529376417013</v>
      </c>
      <c r="G172" s="5">
        <v>0.27360000000000001</v>
      </c>
      <c r="H172">
        <v>0.52800000000000002</v>
      </c>
      <c r="I172" s="4">
        <v>0.54800000000000004</v>
      </c>
      <c r="J172" s="3">
        <v>587014561894</v>
      </c>
      <c r="K172" s="3">
        <v>721440896567.72607</v>
      </c>
      <c r="L172" s="3">
        <v>143087</v>
      </c>
      <c r="M172" s="3">
        <v>100547610000</v>
      </c>
      <c r="N172" s="3">
        <v>123573012690.00002</v>
      </c>
      <c r="O172" s="3">
        <v>1393465</v>
      </c>
      <c r="P172" s="10">
        <v>123.57301269000001</v>
      </c>
      <c r="Q172" s="10">
        <v>721.4408965677261</v>
      </c>
      <c r="R172" s="3">
        <f t="shared" si="6"/>
        <v>13290911601372.33</v>
      </c>
      <c r="S172" s="2">
        <f t="shared" si="7"/>
        <v>0.92975573381468213</v>
      </c>
      <c r="T172" s="11">
        <f t="shared" si="8"/>
        <v>9.297557338146821E-3</v>
      </c>
    </row>
    <row r="173" spans="1:20" x14ac:dyDescent="0.3">
      <c r="A173" t="s">
        <v>36</v>
      </c>
      <c r="B173" s="3">
        <v>19</v>
      </c>
      <c r="C173">
        <v>2014</v>
      </c>
      <c r="D173" s="2">
        <v>13085.761667518203</v>
      </c>
      <c r="E173" s="2">
        <v>13898.553682667705</v>
      </c>
      <c r="F173" s="11">
        <v>0.73437763794932043</v>
      </c>
      <c r="G173" s="5">
        <v>0.29070000000000001</v>
      </c>
      <c r="H173">
        <v>0.52700000000000002</v>
      </c>
      <c r="I173" s="4">
        <v>0.53500000000000003</v>
      </c>
      <c r="J173" s="3">
        <v>626475393675</v>
      </c>
      <c r="K173" s="3">
        <v>754841430222.13232</v>
      </c>
      <c r="L173" s="3">
        <v>143670</v>
      </c>
      <c r="M173" s="3">
        <v>111082978400</v>
      </c>
      <c r="N173" s="3">
        <v>133844098483.92155</v>
      </c>
      <c r="O173" s="3">
        <v>1406735</v>
      </c>
      <c r="P173" s="10">
        <v>133.84409848392156</v>
      </c>
      <c r="Q173" s="10">
        <v>754.84143022213232</v>
      </c>
      <c r="R173" s="3">
        <f t="shared" si="6"/>
        <v>13898553682667.705</v>
      </c>
      <c r="S173" s="2">
        <f t="shared" si="7"/>
        <v>0.96300738580326406</v>
      </c>
      <c r="T173" s="11">
        <f t="shared" si="8"/>
        <v>9.6300738580326409E-3</v>
      </c>
    </row>
    <row r="174" spans="1:20" x14ac:dyDescent="0.3">
      <c r="A174" t="s">
        <v>36</v>
      </c>
      <c r="B174" s="3">
        <v>19</v>
      </c>
      <c r="C174">
        <v>2015</v>
      </c>
      <c r="D174" s="2">
        <v>14622.036080438851</v>
      </c>
      <c r="E174" s="2">
        <v>14622.036080438851</v>
      </c>
      <c r="F174" s="11">
        <v>0.73176652482555227</v>
      </c>
      <c r="G174" s="5">
        <v>0.3125</v>
      </c>
      <c r="H174">
        <v>0.51100000000000001</v>
      </c>
      <c r="I174" s="4">
        <v>0.52400000000000002</v>
      </c>
      <c r="J174" s="3">
        <v>619645033108</v>
      </c>
      <c r="K174" s="3">
        <v>723625756071.58118</v>
      </c>
      <c r="L174" s="3">
        <v>138329</v>
      </c>
      <c r="M174" s="3">
        <v>110303769450</v>
      </c>
      <c r="N174" s="3">
        <v>128813504992.44585</v>
      </c>
      <c r="O174" s="3">
        <v>1420313</v>
      </c>
      <c r="P174" s="10">
        <v>128.81350499244584</v>
      </c>
      <c r="Q174" s="10">
        <v>723.62575607158112</v>
      </c>
      <c r="R174" s="3">
        <f t="shared" si="6"/>
        <v>14622036080438.852</v>
      </c>
      <c r="S174" s="2">
        <f t="shared" si="7"/>
        <v>0.88095463780704719</v>
      </c>
      <c r="T174" s="11">
        <f t="shared" si="8"/>
        <v>8.8095463780704722E-3</v>
      </c>
    </row>
    <row r="175" spans="1:20" x14ac:dyDescent="0.3">
      <c r="A175" t="s">
        <v>36</v>
      </c>
      <c r="B175" s="3">
        <v>19</v>
      </c>
      <c r="C175">
        <v>2016</v>
      </c>
      <c r="D175" s="2">
        <v>16070.029533409768</v>
      </c>
      <c r="E175" s="2">
        <v>14975.410181087638</v>
      </c>
      <c r="F175" s="11">
        <v>0.72400000000000009</v>
      </c>
      <c r="G175" s="5">
        <v>0.33710000000000001</v>
      </c>
      <c r="H175">
        <v>0.50800000000000001</v>
      </c>
      <c r="I175" s="4">
        <v>0.50600000000000001</v>
      </c>
      <c r="J175" s="3">
        <v>684122616153.5</v>
      </c>
      <c r="K175" s="3">
        <v>770233322877.10852</v>
      </c>
      <c r="L175" s="3">
        <v>133827</v>
      </c>
      <c r="M175" s="3">
        <v>110810828700</v>
      </c>
      <c r="N175" s="3">
        <v>124758618974.258</v>
      </c>
      <c r="O175" s="3">
        <v>1434395</v>
      </c>
      <c r="P175" s="10">
        <v>124.758618974258</v>
      </c>
      <c r="Q175" s="10">
        <v>770.23332287710855</v>
      </c>
      <c r="R175" s="3">
        <f t="shared" si="6"/>
        <v>14975410181087.639</v>
      </c>
      <c r="S175" s="2">
        <f t="shared" si="7"/>
        <v>0.83308982836286483</v>
      </c>
      <c r="T175" s="11">
        <f t="shared" si="8"/>
        <v>8.3308982836286481E-3</v>
      </c>
    </row>
    <row r="176" spans="1:20" x14ac:dyDescent="0.3">
      <c r="A176" t="s">
        <v>36</v>
      </c>
      <c r="B176" s="3">
        <v>19</v>
      </c>
      <c r="C176">
        <v>2017</v>
      </c>
      <c r="D176" s="2">
        <v>16738.902202241141</v>
      </c>
      <c r="E176" s="2">
        <v>14876.340419595921</v>
      </c>
      <c r="F176" s="11">
        <v>0.71517483537251847</v>
      </c>
      <c r="G176" s="5">
        <v>0.3669</v>
      </c>
      <c r="H176">
        <v>0.49700000000000005</v>
      </c>
      <c r="I176" s="4">
        <v>0.504</v>
      </c>
      <c r="J176" s="3">
        <v>745069056806</v>
      </c>
      <c r="K176" s="3">
        <v>818896325178.47803</v>
      </c>
      <c r="L176" s="3">
        <v>132730</v>
      </c>
      <c r="M176" s="3">
        <v>101296740600</v>
      </c>
      <c r="N176" s="3">
        <v>111334013769.80862</v>
      </c>
      <c r="O176" s="3">
        <v>1448837</v>
      </c>
      <c r="P176" s="10">
        <v>111.33401376980862</v>
      </c>
      <c r="Q176" s="10">
        <v>818.89632517847804</v>
      </c>
      <c r="R176" s="3">
        <f t="shared" si="6"/>
        <v>14876340419595.922</v>
      </c>
      <c r="S176" s="2">
        <f t="shared" si="7"/>
        <v>0.74839651842837251</v>
      </c>
      <c r="T176" s="11">
        <f t="shared" si="8"/>
        <v>7.483965184283725E-3</v>
      </c>
    </row>
    <row r="177" spans="1:20" x14ac:dyDescent="0.3">
      <c r="A177" t="s">
        <v>36</v>
      </c>
      <c r="B177" s="3">
        <v>19</v>
      </c>
      <c r="C177">
        <v>2018</v>
      </c>
      <c r="D177" s="2">
        <v>17459.0247285515</v>
      </c>
      <c r="E177" s="2">
        <v>15169.486979054776</v>
      </c>
      <c r="F177" s="11">
        <v>0.68810799408320267</v>
      </c>
      <c r="G177" s="5">
        <v>0.34749999999999998</v>
      </c>
      <c r="H177">
        <v>0.504</v>
      </c>
      <c r="I177" s="4">
        <v>0.52</v>
      </c>
      <c r="J177" s="3">
        <v>779703170765</v>
      </c>
      <c r="K177" s="3">
        <v>840722229224.58752</v>
      </c>
      <c r="L177" s="3">
        <v>127805</v>
      </c>
      <c r="M177" s="3">
        <v>97787256650</v>
      </c>
      <c r="N177" s="3">
        <v>105440023182.0056</v>
      </c>
      <c r="O177" s="3">
        <v>1464488</v>
      </c>
      <c r="P177" s="10">
        <v>105.4400231820056</v>
      </c>
      <c r="Q177" s="10">
        <v>840.72222922458752</v>
      </c>
      <c r="R177" s="3">
        <f t="shared" si="6"/>
        <v>15169486979054.777</v>
      </c>
      <c r="S177" s="2">
        <f t="shared" si="7"/>
        <v>0.69507969074756182</v>
      </c>
      <c r="T177" s="11">
        <f t="shared" si="8"/>
        <v>6.9507969074756185E-3</v>
      </c>
    </row>
    <row r="178" spans="1:20" x14ac:dyDescent="0.3">
      <c r="A178" t="s">
        <v>37</v>
      </c>
      <c r="B178" s="3">
        <v>20</v>
      </c>
      <c r="C178">
        <v>2008</v>
      </c>
      <c r="D178" s="2">
        <v>9789.4017377684013</v>
      </c>
      <c r="E178" s="2">
        <v>10857.863312138061</v>
      </c>
      <c r="F178" s="11">
        <v>0.66823404162807787</v>
      </c>
      <c r="G178" s="5">
        <v>0.21510000000000001</v>
      </c>
      <c r="H178">
        <v>0.55500000000000005</v>
      </c>
      <c r="I178" s="4">
        <v>0.54500000000000004</v>
      </c>
      <c r="J178" s="3">
        <v>204491192029</v>
      </c>
      <c r="K178" s="3">
        <v>330553301333.21185</v>
      </c>
      <c r="L178" s="3">
        <v>61906</v>
      </c>
      <c r="M178" s="3">
        <v>39345420000</v>
      </c>
      <c r="N178" s="3">
        <v>63600580270.945671</v>
      </c>
      <c r="O178" s="3">
        <v>994256</v>
      </c>
      <c r="P178" s="10">
        <v>63.60058027094567</v>
      </c>
      <c r="Q178" s="10">
        <v>330.55330133321183</v>
      </c>
      <c r="R178" s="3">
        <f t="shared" si="6"/>
        <v>10857863312138.061</v>
      </c>
      <c r="S178" s="2">
        <f t="shared" si="7"/>
        <v>0.58575594886929783</v>
      </c>
      <c r="T178" s="11">
        <f t="shared" si="8"/>
        <v>5.8575594886929785E-3</v>
      </c>
    </row>
    <row r="179" spans="1:20" x14ac:dyDescent="0.3">
      <c r="A179" t="s">
        <v>37</v>
      </c>
      <c r="B179" s="3">
        <v>20</v>
      </c>
      <c r="C179">
        <v>2009</v>
      </c>
      <c r="D179" s="2">
        <v>10334.868426422825</v>
      </c>
      <c r="E179" s="2">
        <v>11134.524450427596</v>
      </c>
      <c r="F179" s="11">
        <v>0.56480918044384343</v>
      </c>
      <c r="G179" s="5">
        <v>0.22989999999999999</v>
      </c>
      <c r="H179">
        <v>0.54400000000000004</v>
      </c>
      <c r="I179" s="4">
        <v>0.55300000000000005</v>
      </c>
      <c r="J179" s="3">
        <v>241965080065</v>
      </c>
      <c r="K179" s="3">
        <v>370745646926.67377</v>
      </c>
      <c r="L179" s="3">
        <v>79839</v>
      </c>
      <c r="M179" s="3">
        <v>46188155000</v>
      </c>
      <c r="N179" s="3">
        <v>70770779821.718002</v>
      </c>
      <c r="O179" s="3">
        <v>1010507</v>
      </c>
      <c r="P179" s="10">
        <v>70.770779821718008</v>
      </c>
      <c r="Q179" s="10">
        <v>370.74564692667377</v>
      </c>
      <c r="R179" s="3">
        <f t="shared" si="6"/>
        <v>11134524450427.596</v>
      </c>
      <c r="S179" s="2">
        <f t="shared" si="7"/>
        <v>0.63559768660798277</v>
      </c>
      <c r="T179" s="11">
        <f t="shared" si="8"/>
        <v>6.3559768660798278E-3</v>
      </c>
    </row>
    <row r="180" spans="1:20" x14ac:dyDescent="0.3">
      <c r="A180" t="s">
        <v>37</v>
      </c>
      <c r="B180" s="3">
        <v>20</v>
      </c>
      <c r="C180">
        <v>2010</v>
      </c>
      <c r="D180" s="2">
        <v>10890.935871063428</v>
      </c>
      <c r="E180" s="2">
        <v>11558.931327489556</v>
      </c>
      <c r="F180" s="11">
        <v>0.76010124662135825</v>
      </c>
      <c r="G180" s="5">
        <v>0.21579999999999999</v>
      </c>
      <c r="H180">
        <v>0.54700000000000004</v>
      </c>
      <c r="I180" s="4">
        <v>0.51800000000000002</v>
      </c>
      <c r="J180" s="3">
        <v>265368880946</v>
      </c>
      <c r="K180" s="3">
        <v>387798281430.00482</v>
      </c>
      <c r="L180" s="3">
        <v>81878</v>
      </c>
      <c r="M180" s="3">
        <v>55969200000</v>
      </c>
      <c r="N180" s="3">
        <v>81790899881.093948</v>
      </c>
      <c r="O180" s="3">
        <v>1027089</v>
      </c>
      <c r="P180" s="10">
        <v>81.790899881093949</v>
      </c>
      <c r="Q180" s="10">
        <v>387.79828143000481</v>
      </c>
      <c r="R180" s="3">
        <f t="shared" si="6"/>
        <v>11558931327489.557</v>
      </c>
      <c r="S180" s="2">
        <f t="shared" si="7"/>
        <v>0.70759915050778166</v>
      </c>
      <c r="T180" s="11">
        <f t="shared" si="8"/>
        <v>7.0759915050778166E-3</v>
      </c>
    </row>
    <row r="181" spans="1:20" x14ac:dyDescent="0.3">
      <c r="A181" t="s">
        <v>37</v>
      </c>
      <c r="B181" s="3">
        <v>20</v>
      </c>
      <c r="C181">
        <v>2011</v>
      </c>
      <c r="D181" s="2">
        <v>13247.489062709057</v>
      </c>
      <c r="E181" s="2">
        <v>12872.709612456101</v>
      </c>
      <c r="F181" s="11">
        <v>0.72155531745465562</v>
      </c>
      <c r="G181" s="5">
        <v>0.25</v>
      </c>
      <c r="H181">
        <v>0.53500000000000003</v>
      </c>
      <c r="I181" s="4">
        <v>0.50600000000000001</v>
      </c>
      <c r="J181" s="3">
        <v>273825804564</v>
      </c>
      <c r="K181" s="3">
        <v>382988407658.08124</v>
      </c>
      <c r="L181" s="3">
        <v>77712</v>
      </c>
      <c r="M181" s="3">
        <v>46786065000</v>
      </c>
      <c r="N181" s="3">
        <v>65437662325.025604</v>
      </c>
      <c r="O181" s="3">
        <v>1043754</v>
      </c>
      <c r="P181" s="10">
        <v>65.437662325025599</v>
      </c>
      <c r="Q181" s="10">
        <v>382.98840765808126</v>
      </c>
      <c r="R181" s="3">
        <f t="shared" si="6"/>
        <v>12872709612456.102</v>
      </c>
      <c r="S181" s="2">
        <f t="shared" si="7"/>
        <v>0.50834411942071422</v>
      </c>
      <c r="T181" s="11">
        <f t="shared" si="8"/>
        <v>5.0834411942071419E-3</v>
      </c>
    </row>
    <row r="182" spans="1:20" x14ac:dyDescent="0.3">
      <c r="A182" t="s">
        <v>37</v>
      </c>
      <c r="B182" s="3">
        <v>20</v>
      </c>
      <c r="C182">
        <v>2012</v>
      </c>
      <c r="D182" s="2">
        <v>13975.243042778307</v>
      </c>
      <c r="E182" s="2">
        <v>13696.899076784619</v>
      </c>
      <c r="F182" s="11">
        <v>0.75827262425343567</v>
      </c>
      <c r="G182" s="5">
        <v>0.26530000000000004</v>
      </c>
      <c r="H182">
        <v>0.52700000000000002</v>
      </c>
      <c r="I182" s="4">
        <v>0.51800000000000002</v>
      </c>
      <c r="J182" s="3">
        <v>291887630437</v>
      </c>
      <c r="K182" s="3">
        <v>386271021650.77313</v>
      </c>
      <c r="L182" s="3">
        <v>70116</v>
      </c>
      <c r="M182" s="3">
        <v>38880540000</v>
      </c>
      <c r="N182" s="3">
        <v>51452765866.264671</v>
      </c>
      <c r="O182" s="3">
        <v>1060658</v>
      </c>
      <c r="P182" s="10">
        <v>51.45276586626467</v>
      </c>
      <c r="Q182" s="10">
        <v>386.27102165077315</v>
      </c>
      <c r="R182" s="3">
        <f t="shared" si="6"/>
        <v>13696899076784.619</v>
      </c>
      <c r="S182" s="2">
        <f t="shared" si="7"/>
        <v>0.37565266107183243</v>
      </c>
      <c r="T182" s="11">
        <f t="shared" si="8"/>
        <v>3.7565266107183245E-3</v>
      </c>
    </row>
    <row r="183" spans="1:20" x14ac:dyDescent="0.3">
      <c r="A183" t="s">
        <v>37</v>
      </c>
      <c r="B183" s="3">
        <v>20</v>
      </c>
      <c r="C183">
        <v>2013</v>
      </c>
      <c r="D183" s="2">
        <v>13383.024187931756</v>
      </c>
      <c r="E183" s="2">
        <v>13588.262504157838</v>
      </c>
      <c r="F183" s="11">
        <v>0.76959173794999591</v>
      </c>
      <c r="G183" s="5">
        <v>0.28850000000000003</v>
      </c>
      <c r="H183">
        <v>0.52800000000000002</v>
      </c>
      <c r="I183" s="4">
        <v>0.48899999999999999</v>
      </c>
      <c r="J183" s="3">
        <v>314107584617</v>
      </c>
      <c r="K183" s="3">
        <v>386038221494.29303</v>
      </c>
      <c r="L183" s="3">
        <v>94764</v>
      </c>
      <c r="M183" s="3">
        <v>69770575000</v>
      </c>
      <c r="N183" s="3">
        <v>85748036675</v>
      </c>
      <c r="O183" s="3">
        <v>1078033</v>
      </c>
      <c r="P183" s="10">
        <v>85.748036674999994</v>
      </c>
      <c r="Q183" s="10">
        <v>386.03822149429305</v>
      </c>
      <c r="R183" s="3">
        <f t="shared" si="6"/>
        <v>13588262504157.838</v>
      </c>
      <c r="S183" s="2">
        <f t="shared" si="7"/>
        <v>0.63104489369970718</v>
      </c>
      <c r="T183" s="11">
        <f t="shared" si="8"/>
        <v>6.3104489369970717E-3</v>
      </c>
    </row>
    <row r="184" spans="1:20" x14ac:dyDescent="0.3">
      <c r="A184" t="s">
        <v>37</v>
      </c>
      <c r="B184" s="3">
        <v>20</v>
      </c>
      <c r="C184">
        <v>2014</v>
      </c>
      <c r="D184" s="2">
        <v>13653.577178969175</v>
      </c>
      <c r="E184" s="2">
        <v>14390.724653960997</v>
      </c>
      <c r="F184" s="11">
        <v>0.75662927159237614</v>
      </c>
      <c r="G184" s="5">
        <v>0.30230000000000001</v>
      </c>
      <c r="H184">
        <v>0.52700000000000002</v>
      </c>
      <c r="I184" s="4">
        <v>0.47299999999999998</v>
      </c>
      <c r="J184" s="3">
        <v>328765078654</v>
      </c>
      <c r="K184" s="3">
        <v>396129687907.61371</v>
      </c>
      <c r="L184" s="3">
        <v>94986</v>
      </c>
      <c r="M184" s="3">
        <v>78331420200</v>
      </c>
      <c r="N184" s="3">
        <v>94381681790</v>
      </c>
      <c r="O184" s="3">
        <v>1095719</v>
      </c>
      <c r="P184" s="10">
        <v>94.381681790000002</v>
      </c>
      <c r="Q184" s="10">
        <v>396.12968790761369</v>
      </c>
      <c r="R184" s="3">
        <f t="shared" si="6"/>
        <v>14390724653960.996</v>
      </c>
      <c r="S184" s="2">
        <f t="shared" si="7"/>
        <v>0.65585079319839379</v>
      </c>
      <c r="T184" s="11">
        <f t="shared" si="8"/>
        <v>6.5585079319839378E-3</v>
      </c>
    </row>
    <row r="185" spans="1:20" x14ac:dyDescent="0.3">
      <c r="A185" t="s">
        <v>37</v>
      </c>
      <c r="B185" s="3">
        <v>20</v>
      </c>
      <c r="C185">
        <v>2015</v>
      </c>
      <c r="D185" s="2">
        <v>14570.402494107215</v>
      </c>
      <c r="E185" s="2">
        <v>14570.402494107215</v>
      </c>
      <c r="F185" s="11">
        <v>0.77336533676866248</v>
      </c>
      <c r="G185" s="5">
        <v>0.31140000000000001</v>
      </c>
      <c r="H185">
        <v>0.51100000000000001</v>
      </c>
      <c r="I185" s="4">
        <v>0.47899999999999998</v>
      </c>
      <c r="J185" s="3">
        <v>338613973425</v>
      </c>
      <c r="K185" s="3">
        <v>395435740535.27655</v>
      </c>
      <c r="L185" s="3">
        <v>94867</v>
      </c>
      <c r="M185" s="3">
        <v>78313455150</v>
      </c>
      <c r="N185" s="3">
        <v>91454994659.207535</v>
      </c>
      <c r="O185" s="3">
        <v>1114269</v>
      </c>
      <c r="P185" s="10">
        <v>91.454994659207529</v>
      </c>
      <c r="Q185" s="10">
        <v>395.43574053527652</v>
      </c>
      <c r="R185" s="3">
        <f t="shared" si="6"/>
        <v>14570402494107.215</v>
      </c>
      <c r="S185" s="2">
        <f t="shared" si="7"/>
        <v>0.62767651543047742</v>
      </c>
      <c r="T185" s="11">
        <f t="shared" si="8"/>
        <v>6.2767651543047739E-3</v>
      </c>
    </row>
    <row r="186" spans="1:20" x14ac:dyDescent="0.3">
      <c r="A186" t="s">
        <v>37</v>
      </c>
      <c r="B186" s="3">
        <v>20</v>
      </c>
      <c r="C186">
        <v>2016</v>
      </c>
      <c r="D186" s="2">
        <v>16992.102500934889</v>
      </c>
      <c r="E186" s="2">
        <v>15676.321843809406</v>
      </c>
      <c r="F186" s="11">
        <v>0.75719999999999998</v>
      </c>
      <c r="G186" s="5">
        <v>0.32179999999999997</v>
      </c>
      <c r="H186">
        <v>0.50800000000000001</v>
      </c>
      <c r="I186" s="4">
        <v>0.47199999999999998</v>
      </c>
      <c r="J186" s="3">
        <v>358814933300</v>
      </c>
      <c r="K186" s="3">
        <v>403979070195.76776</v>
      </c>
      <c r="L186" s="3">
        <v>95825</v>
      </c>
      <c r="M186" s="3">
        <v>81971748000</v>
      </c>
      <c r="N186" s="3">
        <v>92289555049.468689</v>
      </c>
      <c r="O186" s="3">
        <v>1136299</v>
      </c>
      <c r="P186" s="10">
        <v>92.289555049468689</v>
      </c>
      <c r="Q186" s="10">
        <v>403.97907019576775</v>
      </c>
      <c r="R186" s="3">
        <f t="shared" si="6"/>
        <v>15676321843809.406</v>
      </c>
      <c r="S186" s="2">
        <f t="shared" si="7"/>
        <v>0.58871944560077982</v>
      </c>
      <c r="T186" s="11">
        <f t="shared" si="8"/>
        <v>5.8871944560077985E-3</v>
      </c>
    </row>
    <row r="187" spans="1:20" x14ac:dyDescent="0.3">
      <c r="A187" t="s">
        <v>37</v>
      </c>
      <c r="B187" s="3">
        <v>20</v>
      </c>
      <c r="C187">
        <v>2017</v>
      </c>
      <c r="D187" s="2">
        <v>19550.611969960639</v>
      </c>
      <c r="E187" s="2">
        <v>16122.610931878282</v>
      </c>
      <c r="F187" s="11">
        <v>0.73239637660195323</v>
      </c>
      <c r="G187" s="5">
        <v>0.34460000000000002</v>
      </c>
      <c r="H187">
        <v>0.49700000000000005</v>
      </c>
      <c r="I187" s="4">
        <v>0.48699999999999999</v>
      </c>
      <c r="J187" s="3">
        <v>392597057442</v>
      </c>
      <c r="K187" s="3">
        <v>431498643888.58704</v>
      </c>
      <c r="L187" s="3">
        <v>100172</v>
      </c>
      <c r="M187" s="3">
        <v>81552261500</v>
      </c>
      <c r="N187" s="3">
        <v>89633097284.475052</v>
      </c>
      <c r="O187" s="3">
        <v>1162415</v>
      </c>
      <c r="P187" s="10">
        <v>89.633097284475056</v>
      </c>
      <c r="Q187" s="10">
        <v>431.49864388858703</v>
      </c>
      <c r="R187" s="3">
        <f t="shared" si="6"/>
        <v>16122610931878.281</v>
      </c>
      <c r="S187" s="2">
        <f t="shared" si="7"/>
        <v>0.55594653783556147</v>
      </c>
      <c r="T187" s="11">
        <f t="shared" si="8"/>
        <v>5.5594653783556146E-3</v>
      </c>
    </row>
    <row r="188" spans="1:20" x14ac:dyDescent="0.3">
      <c r="A188" t="s">
        <v>37</v>
      </c>
      <c r="B188" s="3">
        <v>20</v>
      </c>
      <c r="C188">
        <v>2018</v>
      </c>
      <c r="D188" s="2">
        <v>21336.242899078788</v>
      </c>
      <c r="E188" s="2">
        <v>16040.681335147498</v>
      </c>
      <c r="F188" s="11">
        <v>0.71732759947805025</v>
      </c>
      <c r="G188" s="5">
        <v>0.34759999999999996</v>
      </c>
      <c r="H188">
        <v>0.504</v>
      </c>
      <c r="I188" s="4">
        <v>0.48799999999999999</v>
      </c>
      <c r="J188" s="3">
        <v>417122833049</v>
      </c>
      <c r="K188" s="3">
        <v>449766592224.26825</v>
      </c>
      <c r="L188" s="3">
        <v>98299</v>
      </c>
      <c r="M188" s="3">
        <v>81003526200</v>
      </c>
      <c r="N188" s="3">
        <v>87342809001.403748</v>
      </c>
      <c r="O188" s="3">
        <v>1200574</v>
      </c>
      <c r="P188" s="10">
        <v>87.342809001403751</v>
      </c>
      <c r="Q188" s="10">
        <v>449.76659222426827</v>
      </c>
      <c r="R188" s="3">
        <f t="shared" si="6"/>
        <v>16040681335147.498</v>
      </c>
      <c r="S188" s="2">
        <f t="shared" si="7"/>
        <v>0.54450809897970343</v>
      </c>
      <c r="T188" s="11">
        <f t="shared" si="8"/>
        <v>5.445080989797034E-3</v>
      </c>
    </row>
    <row r="189" spans="1:20" x14ac:dyDescent="0.3">
      <c r="A189" t="s">
        <v>38</v>
      </c>
      <c r="B189" s="3">
        <v>27</v>
      </c>
      <c r="C189">
        <v>2008</v>
      </c>
      <c r="D189" s="2">
        <v>1672.2310820671812</v>
      </c>
      <c r="E189" s="2">
        <v>2732.2488244731599</v>
      </c>
      <c r="F189" s="11">
        <v>0.34955889086415409</v>
      </c>
      <c r="G189" s="5">
        <v>0.20079999999999998</v>
      </c>
      <c r="H189">
        <v>0.55500000000000005</v>
      </c>
      <c r="I189" s="4">
        <v>0.61899999999999999</v>
      </c>
      <c r="J189" s="3">
        <v>171670714611</v>
      </c>
      <c r="K189" s="3">
        <v>277500076623.5946</v>
      </c>
      <c r="L189" s="3">
        <v>26979</v>
      </c>
      <c r="M189" s="3">
        <v>19108691000</v>
      </c>
      <c r="N189" s="3">
        <v>30888571930.81678</v>
      </c>
      <c r="O189" s="3">
        <v>437434</v>
      </c>
      <c r="P189" s="10">
        <v>30.888571930816781</v>
      </c>
      <c r="Q189" s="10">
        <v>277.50007662359462</v>
      </c>
      <c r="R189" s="3">
        <f t="shared" si="6"/>
        <v>2732248824473.1597</v>
      </c>
      <c r="S189" s="2">
        <f t="shared" si="7"/>
        <v>1.1305182622513454</v>
      </c>
      <c r="T189" s="11">
        <f t="shared" si="8"/>
        <v>1.1305182622513454E-2</v>
      </c>
    </row>
    <row r="190" spans="1:20" x14ac:dyDescent="0.3">
      <c r="A190" t="s">
        <v>38</v>
      </c>
      <c r="B190" s="3">
        <v>27</v>
      </c>
      <c r="C190">
        <v>2009</v>
      </c>
      <c r="D190" s="2">
        <v>2103.7609869676589</v>
      </c>
      <c r="E190" s="2">
        <v>3135.5619649887349</v>
      </c>
      <c r="F190" s="11">
        <v>0.28873098092237576</v>
      </c>
      <c r="G190" s="5">
        <v>0.2072</v>
      </c>
      <c r="H190">
        <v>0.54400000000000004</v>
      </c>
      <c r="I190" s="4">
        <v>0.57099999999999995</v>
      </c>
      <c r="J190" s="3">
        <v>179649128292</v>
      </c>
      <c r="K190" s="3">
        <v>275263406895.48438</v>
      </c>
      <c r="L190" s="3">
        <v>33953</v>
      </c>
      <c r="M190" s="3">
        <v>20617630000</v>
      </c>
      <c r="N190" s="3">
        <v>31590907954.120438</v>
      </c>
      <c r="O190" s="3">
        <v>448554</v>
      </c>
      <c r="P190" s="10">
        <v>31.590907954120439</v>
      </c>
      <c r="Q190" s="10">
        <v>275.26340689548437</v>
      </c>
      <c r="R190" s="3">
        <f t="shared" si="6"/>
        <v>3135561964988.7349</v>
      </c>
      <c r="S190" s="2">
        <f t="shared" si="7"/>
        <v>1.0075038639599627</v>
      </c>
      <c r="T190" s="11">
        <f t="shared" si="8"/>
        <v>1.0075038639599626E-2</v>
      </c>
    </row>
    <row r="191" spans="1:20" x14ac:dyDescent="0.3">
      <c r="A191" t="s">
        <v>38</v>
      </c>
      <c r="B191" s="3">
        <v>27</v>
      </c>
      <c r="C191">
        <v>2010</v>
      </c>
      <c r="D191" s="2">
        <v>2902.5099862469092</v>
      </c>
      <c r="E191" s="2">
        <v>3793.9113561244531</v>
      </c>
      <c r="F191" s="11">
        <v>0.53700089612510438</v>
      </c>
      <c r="G191" s="5">
        <v>0.25769999999999998</v>
      </c>
      <c r="H191">
        <v>0.54700000000000004</v>
      </c>
      <c r="I191" s="4">
        <v>0.57099999999999995</v>
      </c>
      <c r="J191" s="3">
        <v>187464523511</v>
      </c>
      <c r="K191" s="3">
        <v>273952317948.89304</v>
      </c>
      <c r="L191" s="3">
        <v>32053</v>
      </c>
      <c r="M191" s="3">
        <v>21906590000</v>
      </c>
      <c r="N191" s="3">
        <v>32013316420.927471</v>
      </c>
      <c r="O191" s="3">
        <v>459453</v>
      </c>
      <c r="P191" s="10">
        <v>32.013316420927474</v>
      </c>
      <c r="Q191" s="10">
        <v>273.95231794889304</v>
      </c>
      <c r="R191" s="3">
        <f t="shared" si="6"/>
        <v>3793911356124.4531</v>
      </c>
      <c r="S191" s="2">
        <f t="shared" si="7"/>
        <v>0.84380770703165919</v>
      </c>
      <c r="T191" s="11">
        <f t="shared" si="8"/>
        <v>8.4380770703165915E-3</v>
      </c>
    </row>
    <row r="192" spans="1:20" x14ac:dyDescent="0.3">
      <c r="A192" t="s">
        <v>38</v>
      </c>
      <c r="B192" s="3">
        <v>27</v>
      </c>
      <c r="C192">
        <v>2011</v>
      </c>
      <c r="D192" s="2">
        <v>3652.4376526530068</v>
      </c>
      <c r="E192" s="2">
        <v>4031.1543799571441</v>
      </c>
      <c r="F192" s="11">
        <v>0.46393121491724015</v>
      </c>
      <c r="G192" s="5">
        <v>0.24059999999999998</v>
      </c>
      <c r="H192">
        <v>0.53500000000000003</v>
      </c>
      <c r="I192" s="4">
        <v>0.56699999999999995</v>
      </c>
      <c r="J192" s="3">
        <v>204223206780</v>
      </c>
      <c r="K192" s="3">
        <v>285638239595.56165</v>
      </c>
      <c r="L192" s="3">
        <v>29840</v>
      </c>
      <c r="M192" s="3">
        <v>17960195000</v>
      </c>
      <c r="N192" s="3">
        <v>25120154381.47263</v>
      </c>
      <c r="O192" s="3">
        <v>470087</v>
      </c>
      <c r="P192" s="10">
        <v>25.120154381472631</v>
      </c>
      <c r="Q192" s="10">
        <v>285.63823959556163</v>
      </c>
      <c r="R192" s="3">
        <f t="shared" si="6"/>
        <v>4031154379957.144</v>
      </c>
      <c r="S192" s="2">
        <f t="shared" si="7"/>
        <v>0.62315039350439583</v>
      </c>
      <c r="T192" s="11">
        <f t="shared" si="8"/>
        <v>6.2315039350439583E-3</v>
      </c>
    </row>
    <row r="193" spans="1:20" x14ac:dyDescent="0.3">
      <c r="A193" t="s">
        <v>38</v>
      </c>
      <c r="B193" s="3">
        <v>27</v>
      </c>
      <c r="C193">
        <v>2012</v>
      </c>
      <c r="D193" s="2">
        <v>3555.1330592380173</v>
      </c>
      <c r="E193" s="2">
        <v>3876.946414465895</v>
      </c>
      <c r="F193" s="11">
        <v>0.47938599554256683</v>
      </c>
      <c r="G193" s="5">
        <v>0.23730000000000001</v>
      </c>
      <c r="H193">
        <v>0.52700000000000002</v>
      </c>
      <c r="I193" s="4">
        <v>0.61599999999999999</v>
      </c>
      <c r="J193" s="3">
        <v>209603328515</v>
      </c>
      <c r="K193" s="3">
        <v>277379660541.5473</v>
      </c>
      <c r="L193" s="3">
        <v>28046</v>
      </c>
      <c r="M193" s="3">
        <v>15927145000</v>
      </c>
      <c r="N193" s="3">
        <v>21077270598.686337</v>
      </c>
      <c r="O193" s="3">
        <v>480391</v>
      </c>
      <c r="P193" s="10">
        <v>21.077270598686336</v>
      </c>
      <c r="Q193" s="10">
        <v>277.37966054154731</v>
      </c>
      <c r="R193" s="3">
        <f t="shared" si="6"/>
        <v>3876946414465.895</v>
      </c>
      <c r="S193" s="2">
        <f t="shared" si="7"/>
        <v>0.54365648490888496</v>
      </c>
      <c r="T193" s="11">
        <f t="shared" si="8"/>
        <v>5.4365648490888492E-3</v>
      </c>
    </row>
    <row r="194" spans="1:20" x14ac:dyDescent="0.3">
      <c r="A194" t="s">
        <v>38</v>
      </c>
      <c r="B194" s="3">
        <v>27</v>
      </c>
      <c r="C194">
        <v>2013</v>
      </c>
      <c r="D194" s="2">
        <v>3080.4320319562312</v>
      </c>
      <c r="E194" s="2">
        <v>3546.7832062987331</v>
      </c>
      <c r="F194" s="11">
        <v>0.54642817511750497</v>
      </c>
      <c r="G194" s="5">
        <v>0.23550000000000001</v>
      </c>
      <c r="H194">
        <v>0.52800000000000002</v>
      </c>
      <c r="I194" s="4">
        <v>0.60299999999999998</v>
      </c>
      <c r="J194" s="3">
        <v>219078216328</v>
      </c>
      <c r="K194" s="3">
        <v>269247127867.11203</v>
      </c>
      <c r="L194" s="3">
        <v>40058</v>
      </c>
      <c r="M194" s="3">
        <v>30410000000</v>
      </c>
      <c r="N194" s="3">
        <v>37373890000</v>
      </c>
      <c r="O194" s="3">
        <v>490338</v>
      </c>
      <c r="P194" s="10">
        <v>37.373890000000003</v>
      </c>
      <c r="Q194" s="10">
        <v>269.24712786711206</v>
      </c>
      <c r="R194" s="3">
        <f t="shared" si="6"/>
        <v>3546783206298.7329</v>
      </c>
      <c r="S194" s="2">
        <f t="shared" si="7"/>
        <v>1.0537404692124319</v>
      </c>
      <c r="T194" s="11">
        <f t="shared" si="8"/>
        <v>1.053740469212432E-2</v>
      </c>
    </row>
    <row r="195" spans="1:20" x14ac:dyDescent="0.3">
      <c r="A195" t="s">
        <v>38</v>
      </c>
      <c r="B195" s="3">
        <v>27</v>
      </c>
      <c r="C195">
        <v>2014</v>
      </c>
      <c r="D195" s="2">
        <v>3145.1658556659936</v>
      </c>
      <c r="E195" s="2">
        <v>3471.6562487517144</v>
      </c>
      <c r="F195" s="11">
        <v>0.56948027043973026</v>
      </c>
      <c r="G195" s="5">
        <v>0.2394</v>
      </c>
      <c r="H195">
        <v>0.52700000000000002</v>
      </c>
      <c r="I195" s="4">
        <v>0.59799999999999998</v>
      </c>
      <c r="J195" s="3">
        <v>246688065873</v>
      </c>
      <c r="K195" s="3">
        <v>297234934272.46765</v>
      </c>
      <c r="L195" s="3">
        <v>41208</v>
      </c>
      <c r="M195" s="3">
        <v>34015464600</v>
      </c>
      <c r="N195" s="3">
        <v>40985299993.529411</v>
      </c>
      <c r="O195" s="3">
        <v>499946</v>
      </c>
      <c r="P195" s="10">
        <v>40.985299993529409</v>
      </c>
      <c r="Q195" s="10">
        <v>297.23493427246763</v>
      </c>
      <c r="R195" s="3">
        <f t="shared" ref="R195:R258" si="9">E195*1000000000</f>
        <v>3471656248751.7144</v>
      </c>
      <c r="S195" s="2">
        <f t="shared" ref="S195:S258" si="10">(N195/R195)*100</f>
        <v>1.1805690729969676</v>
      </c>
      <c r="T195" s="11">
        <f t="shared" ref="T195:T258" si="11">S195/100</f>
        <v>1.1805690729969676E-2</v>
      </c>
    </row>
    <row r="196" spans="1:20" x14ac:dyDescent="0.3">
      <c r="A196" t="s">
        <v>38</v>
      </c>
      <c r="B196" s="3">
        <v>27</v>
      </c>
      <c r="C196">
        <v>2015</v>
      </c>
      <c r="D196" s="2">
        <v>3570.6312098417379</v>
      </c>
      <c r="E196" s="2">
        <v>3570.6312098417379</v>
      </c>
      <c r="F196" s="11">
        <v>0.47457378998743371</v>
      </c>
      <c r="G196" s="5">
        <v>0.2407</v>
      </c>
      <c r="H196">
        <v>0.51100000000000001</v>
      </c>
      <c r="I196" s="4">
        <v>0.59799999999999998</v>
      </c>
      <c r="J196" s="3">
        <v>243233314983</v>
      </c>
      <c r="K196" s="3">
        <v>284049547808.91962</v>
      </c>
      <c r="L196" s="3">
        <v>42271</v>
      </c>
      <c r="M196" s="3">
        <v>35323855600</v>
      </c>
      <c r="N196" s="3">
        <v>41251442923.223106</v>
      </c>
      <c r="O196" s="3">
        <v>509240</v>
      </c>
      <c r="P196" s="10">
        <v>41.251442923223109</v>
      </c>
      <c r="Q196" s="10">
        <v>284.04954780891961</v>
      </c>
      <c r="R196" s="3">
        <f t="shared" si="9"/>
        <v>3570631209841.7378</v>
      </c>
      <c r="S196" s="2">
        <f t="shared" si="10"/>
        <v>1.1552983351941155</v>
      </c>
      <c r="T196" s="11">
        <f t="shared" si="11"/>
        <v>1.1552983351941154E-2</v>
      </c>
    </row>
    <row r="197" spans="1:20" x14ac:dyDescent="0.3">
      <c r="A197" t="s">
        <v>38</v>
      </c>
      <c r="B197" s="3">
        <v>27</v>
      </c>
      <c r="C197">
        <v>2016</v>
      </c>
      <c r="D197" s="2">
        <v>4221.6434448154687</v>
      </c>
      <c r="E197" s="2">
        <v>3765.2208688075475</v>
      </c>
      <c r="F197" s="11">
        <v>0.49759999999999999</v>
      </c>
      <c r="G197" s="5">
        <v>0.22690000000000002</v>
      </c>
      <c r="H197">
        <v>0.50800000000000001</v>
      </c>
      <c r="I197" s="4">
        <v>0.57399999999999995</v>
      </c>
      <c r="J197" s="3">
        <v>268291994078.5</v>
      </c>
      <c r="K197" s="3">
        <v>302061983072.9906</v>
      </c>
      <c r="L197" s="3">
        <v>42724</v>
      </c>
      <c r="M197" s="3">
        <v>36498155450</v>
      </c>
      <c r="N197" s="3">
        <v>41092188574.61525</v>
      </c>
      <c r="O197" s="3">
        <v>518234</v>
      </c>
      <c r="P197" s="10">
        <v>41.09218857461525</v>
      </c>
      <c r="Q197" s="10">
        <v>302.06198307299059</v>
      </c>
      <c r="R197" s="3">
        <f t="shared" si="9"/>
        <v>3765220868807.5474</v>
      </c>
      <c r="S197" s="2">
        <f t="shared" si="10"/>
        <v>1.0913619680332121</v>
      </c>
      <c r="T197" s="11">
        <f t="shared" si="11"/>
        <v>1.091361968033212E-2</v>
      </c>
    </row>
    <row r="198" spans="1:20" x14ac:dyDescent="0.3">
      <c r="A198" t="s">
        <v>38</v>
      </c>
      <c r="B198" s="3">
        <v>27</v>
      </c>
      <c r="C198">
        <v>2017</v>
      </c>
      <c r="D198" s="2">
        <v>3957.6387726357484</v>
      </c>
      <c r="E198" s="2">
        <v>3482.3983235553869</v>
      </c>
      <c r="F198" s="11">
        <v>0.62410307286152411</v>
      </c>
      <c r="G198" s="5">
        <v>0.2445</v>
      </c>
      <c r="H198">
        <v>0.49700000000000005</v>
      </c>
      <c r="I198" s="4">
        <v>0.56599999999999995</v>
      </c>
      <c r="J198" s="3">
        <v>295876149849</v>
      </c>
      <c r="K198" s="3">
        <v>325193872441.80023</v>
      </c>
      <c r="L198" s="3">
        <v>43489</v>
      </c>
      <c r="M198" s="3">
        <v>37356280500</v>
      </c>
      <c r="N198" s="3">
        <v>41057832887.229477</v>
      </c>
      <c r="O198" s="3">
        <v>526888</v>
      </c>
      <c r="P198" s="10">
        <v>41.05783288722948</v>
      </c>
      <c r="Q198" s="10">
        <v>325.19387244180024</v>
      </c>
      <c r="R198" s="3">
        <f t="shared" si="9"/>
        <v>3482398323555.3867</v>
      </c>
      <c r="S198" s="2">
        <f t="shared" si="10"/>
        <v>1.1790102415771642</v>
      </c>
      <c r="T198" s="11">
        <f t="shared" si="11"/>
        <v>1.1790102415771641E-2</v>
      </c>
    </row>
    <row r="199" spans="1:20" x14ac:dyDescent="0.3">
      <c r="A199" t="s">
        <v>38</v>
      </c>
      <c r="B199" s="3">
        <v>27</v>
      </c>
      <c r="C199">
        <v>2018</v>
      </c>
      <c r="D199" s="2">
        <v>3776.2616257208492</v>
      </c>
      <c r="E199" s="2">
        <v>3214.849338402742</v>
      </c>
      <c r="F199" s="11">
        <v>0.59134417569304876</v>
      </c>
      <c r="G199" s="5">
        <v>0.2389</v>
      </c>
      <c r="H199">
        <v>0.504</v>
      </c>
      <c r="I199" s="4">
        <v>0.57899999999999996</v>
      </c>
      <c r="J199" s="3">
        <v>308430378660</v>
      </c>
      <c r="K199" s="3">
        <v>332567937684.80432</v>
      </c>
      <c r="L199" s="3">
        <v>43282</v>
      </c>
      <c r="M199" s="3">
        <v>35289333125</v>
      </c>
      <c r="N199" s="3">
        <v>38051053176.544128</v>
      </c>
      <c r="O199" s="3">
        <v>534826</v>
      </c>
      <c r="P199" s="10">
        <v>38.05105317654413</v>
      </c>
      <c r="Q199" s="10">
        <v>332.56793768480435</v>
      </c>
      <c r="R199" s="3">
        <f t="shared" si="9"/>
        <v>3214849338402.7422</v>
      </c>
      <c r="S199" s="2">
        <f t="shared" si="10"/>
        <v>1.1836029988095591</v>
      </c>
      <c r="T199" s="11">
        <f t="shared" si="11"/>
        <v>1.1836029988095591E-2</v>
      </c>
    </row>
    <row r="200" spans="1:20" x14ac:dyDescent="0.3">
      <c r="A200" t="s">
        <v>39</v>
      </c>
      <c r="B200" s="3">
        <v>23</v>
      </c>
      <c r="C200">
        <v>2008</v>
      </c>
      <c r="D200" s="2">
        <v>8202.4466574671842</v>
      </c>
      <c r="E200" s="2">
        <v>11089.091988805214</v>
      </c>
      <c r="F200" s="11">
        <v>0.54996108808385902</v>
      </c>
      <c r="G200" s="5">
        <v>0.17309999999999998</v>
      </c>
      <c r="H200">
        <v>0.55500000000000005</v>
      </c>
      <c r="I200" s="4">
        <v>0.52400000000000002</v>
      </c>
      <c r="J200" s="3">
        <v>337806116660</v>
      </c>
      <c r="K200" s="3">
        <v>546052502137.49829</v>
      </c>
      <c r="L200" s="3">
        <v>137820</v>
      </c>
      <c r="M200" s="3">
        <v>87111119000</v>
      </c>
      <c r="N200" s="3">
        <v>140812265225.56885</v>
      </c>
      <c r="O200" s="3">
        <v>1599129</v>
      </c>
      <c r="P200" s="10">
        <v>140.81226522556884</v>
      </c>
      <c r="Q200" s="10">
        <v>546.05250213749832</v>
      </c>
      <c r="R200" s="3">
        <f t="shared" si="9"/>
        <v>11089091988805.215</v>
      </c>
      <c r="S200" s="2">
        <f t="shared" si="10"/>
        <v>1.2698268295341335</v>
      </c>
      <c r="T200" s="11">
        <f t="shared" si="11"/>
        <v>1.2698268295341335E-2</v>
      </c>
    </row>
    <row r="201" spans="1:20" x14ac:dyDescent="0.3">
      <c r="A201" t="s">
        <v>39</v>
      </c>
      <c r="B201" s="3">
        <v>23</v>
      </c>
      <c r="C201">
        <v>2009</v>
      </c>
      <c r="D201" s="2">
        <v>8472.9749757562768</v>
      </c>
      <c r="E201" s="2">
        <v>11377.390547613604</v>
      </c>
      <c r="F201" s="11">
        <v>0.51979408775659397</v>
      </c>
      <c r="G201" s="5">
        <v>0.1711</v>
      </c>
      <c r="H201">
        <v>0.54400000000000004</v>
      </c>
      <c r="I201" s="4">
        <v>0.55800000000000005</v>
      </c>
      <c r="J201" s="3">
        <v>402437369198</v>
      </c>
      <c r="K201" s="3">
        <v>616625765795.21509</v>
      </c>
      <c r="L201" s="3">
        <v>181169</v>
      </c>
      <c r="M201" s="3">
        <v>102792052000</v>
      </c>
      <c r="N201" s="3">
        <v>157500850153.34747</v>
      </c>
      <c r="O201" s="3">
        <v>1618376</v>
      </c>
      <c r="P201" s="10">
        <v>157.50085015334747</v>
      </c>
      <c r="Q201" s="10">
        <v>616.6257657952151</v>
      </c>
      <c r="R201" s="3">
        <f t="shared" si="9"/>
        <v>11377390547613.604</v>
      </c>
      <c r="S201" s="2">
        <f t="shared" si="10"/>
        <v>1.3843319300169679</v>
      </c>
      <c r="T201" s="11">
        <f t="shared" si="11"/>
        <v>1.3843319300169679E-2</v>
      </c>
    </row>
    <row r="202" spans="1:20" x14ac:dyDescent="0.3">
      <c r="A202" t="s">
        <v>39</v>
      </c>
      <c r="B202" s="3">
        <v>23</v>
      </c>
      <c r="C202">
        <v>2010</v>
      </c>
      <c r="D202" s="2">
        <v>9010.5383460445501</v>
      </c>
      <c r="E202" s="2">
        <v>11607.732179651237</v>
      </c>
      <c r="F202" s="11">
        <v>0.73601633125086319</v>
      </c>
      <c r="G202" s="5">
        <v>0.1704</v>
      </c>
      <c r="H202">
        <v>0.54700000000000004</v>
      </c>
      <c r="I202" s="4">
        <v>0.55000000000000004</v>
      </c>
      <c r="J202" s="3">
        <v>431797777255</v>
      </c>
      <c r="K202" s="3">
        <v>631010069258.49597</v>
      </c>
      <c r="L202" s="3">
        <v>170938</v>
      </c>
      <c r="M202" s="3">
        <v>112269116000</v>
      </c>
      <c r="N202" s="3">
        <v>164065093417.36032</v>
      </c>
      <c r="O202" s="3">
        <v>1637310</v>
      </c>
      <c r="P202" s="10">
        <v>164.06509341736032</v>
      </c>
      <c r="Q202" s="10">
        <v>631.01006925849595</v>
      </c>
      <c r="R202" s="3">
        <f t="shared" si="9"/>
        <v>11607732179651.236</v>
      </c>
      <c r="S202" s="2">
        <f t="shared" si="10"/>
        <v>1.4134121194230533</v>
      </c>
      <c r="T202" s="11">
        <f t="shared" si="11"/>
        <v>1.4134121194230534E-2</v>
      </c>
    </row>
    <row r="203" spans="1:20" x14ac:dyDescent="0.3">
      <c r="A203" t="s">
        <v>39</v>
      </c>
      <c r="B203" s="3">
        <v>23</v>
      </c>
      <c r="C203">
        <v>2011</v>
      </c>
      <c r="D203" s="2">
        <v>9757.8045044459523</v>
      </c>
      <c r="E203" s="2">
        <v>11546.80310278967</v>
      </c>
      <c r="F203" s="11">
        <v>0.73330254404863116</v>
      </c>
      <c r="G203" s="5">
        <v>0.18140000000000001</v>
      </c>
      <c r="H203">
        <v>0.53500000000000003</v>
      </c>
      <c r="I203" s="4">
        <v>0.55600000000000005</v>
      </c>
      <c r="J203" s="3">
        <v>448090661984</v>
      </c>
      <c r="K203" s="3">
        <v>626725189004.59314</v>
      </c>
      <c r="L203" s="3">
        <v>161137</v>
      </c>
      <c r="M203" s="3">
        <v>94820360000</v>
      </c>
      <c r="N203" s="3">
        <v>132621170410.83418</v>
      </c>
      <c r="O203" s="3">
        <v>1655818</v>
      </c>
      <c r="P203" s="10">
        <v>132.6211704108342</v>
      </c>
      <c r="Q203" s="10">
        <v>626.72518900459318</v>
      </c>
      <c r="R203" s="3">
        <f t="shared" si="9"/>
        <v>11546803102789.67</v>
      </c>
      <c r="S203" s="2">
        <f t="shared" si="10"/>
        <v>1.1485531469640575</v>
      </c>
      <c r="T203" s="11">
        <f t="shared" si="11"/>
        <v>1.1485531469640575E-2</v>
      </c>
    </row>
    <row r="204" spans="1:20" x14ac:dyDescent="0.3">
      <c r="A204" t="s">
        <v>39</v>
      </c>
      <c r="B204" s="3">
        <v>23</v>
      </c>
      <c r="C204">
        <v>2012</v>
      </c>
      <c r="D204" s="2">
        <v>10779.266910289518</v>
      </c>
      <c r="E204" s="2">
        <v>12683.650512523787</v>
      </c>
      <c r="F204" s="11">
        <v>0.73298069655403308</v>
      </c>
      <c r="G204" s="5">
        <v>0.19760000000000003</v>
      </c>
      <c r="H204">
        <v>0.52700000000000002</v>
      </c>
      <c r="I204" s="4">
        <v>0.54200000000000004</v>
      </c>
      <c r="J204" s="3">
        <v>499947658894</v>
      </c>
      <c r="K204" s="3">
        <v>661608347992.59827</v>
      </c>
      <c r="L204" s="3">
        <v>151228</v>
      </c>
      <c r="M204" s="3">
        <v>83327970000</v>
      </c>
      <c r="N204" s="3">
        <v>110272504716.27005</v>
      </c>
      <c r="O204" s="3">
        <v>1673891</v>
      </c>
      <c r="P204" s="10">
        <v>110.27250471627005</v>
      </c>
      <c r="Q204" s="10">
        <v>661.60834799259828</v>
      </c>
      <c r="R204" s="3">
        <f t="shared" si="9"/>
        <v>12683650512523.787</v>
      </c>
      <c r="S204" s="2">
        <f t="shared" si="10"/>
        <v>0.8694066791527203</v>
      </c>
      <c r="T204" s="11">
        <f t="shared" si="11"/>
        <v>8.6940667915272034E-3</v>
      </c>
    </row>
    <row r="205" spans="1:20" x14ac:dyDescent="0.3">
      <c r="A205" t="s">
        <v>39</v>
      </c>
      <c r="B205" s="3">
        <v>23</v>
      </c>
      <c r="C205">
        <v>2013</v>
      </c>
      <c r="D205" s="2">
        <v>11696.563142686669</v>
      </c>
      <c r="E205" s="2">
        <v>13141.361626508242</v>
      </c>
      <c r="F205" s="11">
        <v>0.74286320753745472</v>
      </c>
      <c r="G205" s="5">
        <v>0.22030000000000002</v>
      </c>
      <c r="H205">
        <v>0.52800000000000002</v>
      </c>
      <c r="I205" s="4">
        <v>0.52700000000000002</v>
      </c>
      <c r="J205" s="3">
        <v>553262002295</v>
      </c>
      <c r="K205" s="3">
        <v>679959000820.55505</v>
      </c>
      <c r="L205" s="3">
        <v>188800</v>
      </c>
      <c r="M205" s="3">
        <v>140250425000</v>
      </c>
      <c r="N205" s="3">
        <v>172367772325</v>
      </c>
      <c r="O205" s="3">
        <v>1691609</v>
      </c>
      <c r="P205" s="10">
        <v>172.367772325</v>
      </c>
      <c r="Q205" s="10">
        <v>679.95900082055505</v>
      </c>
      <c r="R205" s="3">
        <f t="shared" si="9"/>
        <v>13141361626508.242</v>
      </c>
      <c r="S205" s="2">
        <f t="shared" si="10"/>
        <v>1.3116431708058809</v>
      </c>
      <c r="T205" s="11">
        <f t="shared" si="11"/>
        <v>1.3116431708058809E-2</v>
      </c>
    </row>
    <row r="206" spans="1:20" x14ac:dyDescent="0.3">
      <c r="A206" t="s">
        <v>39</v>
      </c>
      <c r="B206" s="3">
        <v>23</v>
      </c>
      <c r="C206">
        <v>2014</v>
      </c>
      <c r="D206" s="2">
        <v>12912.722790137899</v>
      </c>
      <c r="E206" s="2">
        <v>13683.779018080728</v>
      </c>
      <c r="F206" s="11">
        <v>0.74697816083649071</v>
      </c>
      <c r="G206" s="5">
        <v>0.23139999999999999</v>
      </c>
      <c r="H206">
        <v>0.52700000000000002</v>
      </c>
      <c r="I206" s="4">
        <v>0.499</v>
      </c>
      <c r="J206" s="3">
        <v>588054850771</v>
      </c>
      <c r="K206" s="3">
        <v>708548442742.70483</v>
      </c>
      <c r="L206" s="3">
        <v>202805</v>
      </c>
      <c r="M206" s="3">
        <v>161748068800</v>
      </c>
      <c r="N206" s="3">
        <v>194890565250.19608</v>
      </c>
      <c r="O206" s="3">
        <v>1709003</v>
      </c>
      <c r="P206" s="10">
        <v>194.89056525019606</v>
      </c>
      <c r="Q206" s="10">
        <v>708.54844274270488</v>
      </c>
      <c r="R206" s="3">
        <f t="shared" si="9"/>
        <v>13683779018080.729</v>
      </c>
      <c r="S206" s="2">
        <f t="shared" si="10"/>
        <v>1.42424519566329</v>
      </c>
      <c r="T206" s="11">
        <f t="shared" si="11"/>
        <v>1.4242451956632899E-2</v>
      </c>
    </row>
    <row r="207" spans="1:20" x14ac:dyDescent="0.3">
      <c r="A207" t="s">
        <v>39</v>
      </c>
      <c r="B207" s="3">
        <v>23</v>
      </c>
      <c r="C207">
        <v>2015</v>
      </c>
      <c r="D207" s="2">
        <v>13656.567300133398</v>
      </c>
      <c r="E207" s="2">
        <v>13656.567300133398</v>
      </c>
      <c r="F207" s="11">
        <v>0.76540161700636422</v>
      </c>
      <c r="G207" s="5">
        <v>0.2243</v>
      </c>
      <c r="H207">
        <v>0.51100000000000001</v>
      </c>
      <c r="I207" s="4">
        <v>0.46500000000000002</v>
      </c>
      <c r="J207" s="3">
        <v>567156595331</v>
      </c>
      <c r="K207" s="3">
        <v>662329395345.68506</v>
      </c>
      <c r="L207" s="3">
        <v>193620</v>
      </c>
      <c r="M207" s="3">
        <v>155927151700</v>
      </c>
      <c r="N207" s="3">
        <v>182092806384.73965</v>
      </c>
      <c r="O207" s="3">
        <v>1726287</v>
      </c>
      <c r="P207" s="10">
        <v>182.09280638473965</v>
      </c>
      <c r="Q207" s="10">
        <v>662.32939534568504</v>
      </c>
      <c r="R207" s="3">
        <f t="shared" si="9"/>
        <v>13656567300133.398</v>
      </c>
      <c r="S207" s="2">
        <f t="shared" si="10"/>
        <v>1.3333717206003954</v>
      </c>
      <c r="T207" s="11">
        <f t="shared" si="11"/>
        <v>1.3333717206003954E-2</v>
      </c>
    </row>
    <row r="208" spans="1:20" x14ac:dyDescent="0.3">
      <c r="A208" t="s">
        <v>39</v>
      </c>
      <c r="B208" s="3">
        <v>23</v>
      </c>
      <c r="C208">
        <v>2016</v>
      </c>
      <c r="D208" s="2">
        <v>14661.594925601574</v>
      </c>
      <c r="E208" s="2">
        <v>13731.403833371107</v>
      </c>
      <c r="F208" s="11">
        <v>0.71560000000000001</v>
      </c>
      <c r="G208" s="5">
        <v>0.22949999999999998</v>
      </c>
      <c r="H208">
        <v>0.50800000000000001</v>
      </c>
      <c r="I208" s="4">
        <v>0.46</v>
      </c>
      <c r="J208" s="3">
        <v>620434086604</v>
      </c>
      <c r="K208" s="3">
        <v>698528300143.1991</v>
      </c>
      <c r="L208" s="3">
        <v>187315</v>
      </c>
      <c r="M208" s="3">
        <v>157400765300</v>
      </c>
      <c r="N208" s="3">
        <v>177212844039.66656</v>
      </c>
      <c r="O208" s="3">
        <v>1744254</v>
      </c>
      <c r="P208" s="10">
        <v>177.21284403966658</v>
      </c>
      <c r="Q208" s="10">
        <v>698.52830014319909</v>
      </c>
      <c r="R208" s="3">
        <f t="shared" si="9"/>
        <v>13731403833371.107</v>
      </c>
      <c r="S208" s="2">
        <f t="shared" si="10"/>
        <v>1.2905661080987973</v>
      </c>
      <c r="T208" s="11">
        <f t="shared" si="11"/>
        <v>1.2905661080987974E-2</v>
      </c>
    </row>
    <row r="209" spans="1:20" x14ac:dyDescent="0.3">
      <c r="A209" t="s">
        <v>39</v>
      </c>
      <c r="B209" s="3">
        <v>23</v>
      </c>
      <c r="C209">
        <v>2017</v>
      </c>
      <c r="D209" s="2">
        <v>15792.563628677657</v>
      </c>
      <c r="E209" s="2">
        <v>13920.294746264999</v>
      </c>
      <c r="F209" s="11">
        <v>0.75451627662839416</v>
      </c>
      <c r="G209" s="5">
        <v>0.23860000000000001</v>
      </c>
      <c r="H209">
        <v>0.49700000000000005</v>
      </c>
      <c r="I209" s="4">
        <v>0.46800000000000003</v>
      </c>
      <c r="J209" s="3">
        <v>678564559629</v>
      </c>
      <c r="K209" s="3">
        <v>745802042375.28271</v>
      </c>
      <c r="L209" s="3">
        <v>185706</v>
      </c>
      <c r="M209" s="3">
        <v>144690055100</v>
      </c>
      <c r="N209" s="3">
        <v>159027077193.61475</v>
      </c>
      <c r="O209" s="3">
        <v>1763053</v>
      </c>
      <c r="P209" s="10">
        <v>159.02707719361476</v>
      </c>
      <c r="Q209" s="10">
        <v>745.80204237528267</v>
      </c>
      <c r="R209" s="3">
        <f t="shared" si="9"/>
        <v>13920294746265</v>
      </c>
      <c r="S209" s="2">
        <f t="shared" si="10"/>
        <v>1.1424117096104147</v>
      </c>
      <c r="T209" s="11">
        <f t="shared" si="11"/>
        <v>1.1424117096104146E-2</v>
      </c>
    </row>
    <row r="210" spans="1:20" x14ac:dyDescent="0.3">
      <c r="A210" t="s">
        <v>39</v>
      </c>
      <c r="B210" s="3">
        <v>23</v>
      </c>
      <c r="C210">
        <v>2018</v>
      </c>
      <c r="D210" s="2">
        <v>16661.110714455823</v>
      </c>
      <c r="E210" s="2">
        <v>14196.124889995848</v>
      </c>
      <c r="F210" s="11">
        <v>0.74273976291659694</v>
      </c>
      <c r="G210" s="5">
        <v>0.23809999999999998</v>
      </c>
      <c r="H210">
        <v>0.504</v>
      </c>
      <c r="I210" s="4">
        <v>0.47699999999999998</v>
      </c>
      <c r="J210" s="3">
        <v>721196121998</v>
      </c>
      <c r="K210" s="3">
        <v>777636457216.65369</v>
      </c>
      <c r="L210" s="3">
        <v>178056</v>
      </c>
      <c r="M210" s="3">
        <v>138796811750</v>
      </c>
      <c r="N210" s="3">
        <v>149658959151.3862</v>
      </c>
      <c r="O210" s="3">
        <v>1784783</v>
      </c>
      <c r="P210" s="10">
        <v>149.6589591513862</v>
      </c>
      <c r="Q210" s="10">
        <v>777.63645721665364</v>
      </c>
      <c r="R210" s="3">
        <f t="shared" si="9"/>
        <v>14196124889995.848</v>
      </c>
      <c r="S210" s="2">
        <f t="shared" si="10"/>
        <v>1.0542240245917558</v>
      </c>
      <c r="T210" s="11">
        <f t="shared" si="11"/>
        <v>1.0542240245917558E-2</v>
      </c>
    </row>
    <row r="211" spans="1:20" x14ac:dyDescent="0.3">
      <c r="A211" t="s">
        <v>40</v>
      </c>
      <c r="B211" s="3">
        <v>94</v>
      </c>
      <c r="C211">
        <v>2008</v>
      </c>
      <c r="D211" s="2">
        <v>166.49092948001334</v>
      </c>
      <c r="E211" s="2">
        <v>242.00495339685119</v>
      </c>
      <c r="F211" s="11">
        <v>0.53921142559879598</v>
      </c>
      <c r="G211" s="5">
        <v>0.18460000000000001</v>
      </c>
      <c r="H211">
        <v>0.55500000000000005</v>
      </c>
      <c r="I211" s="1"/>
      <c r="J211" s="3">
        <v>37627896097</v>
      </c>
      <c r="K211" s="3">
        <v>60824259243.999733</v>
      </c>
      <c r="L211" s="7">
        <v>589</v>
      </c>
      <c r="M211" s="9">
        <v>343258000</v>
      </c>
      <c r="N211" s="9">
        <v>554865292.64763904</v>
      </c>
      <c r="O211">
        <v>34294</v>
      </c>
      <c r="P211" s="10">
        <v>0.55486529264763906</v>
      </c>
      <c r="Q211" s="10">
        <v>60.824259243999734</v>
      </c>
      <c r="R211" s="3">
        <f t="shared" si="9"/>
        <v>242004953396.8512</v>
      </c>
      <c r="S211" s="2">
        <f t="shared" si="10"/>
        <v>0.22927848577452242</v>
      </c>
      <c r="T211" s="11">
        <f t="shared" si="11"/>
        <v>2.2927848577452242E-3</v>
      </c>
    </row>
    <row r="212" spans="1:20" x14ac:dyDescent="0.3">
      <c r="A212" t="s">
        <v>40</v>
      </c>
      <c r="B212" s="3">
        <v>94</v>
      </c>
      <c r="C212">
        <v>2009</v>
      </c>
      <c r="D212" s="2">
        <v>180.3747717961879</v>
      </c>
      <c r="E212" s="2">
        <v>245.69968550978024</v>
      </c>
      <c r="F212" s="11">
        <v>0.54836791546407071</v>
      </c>
      <c r="G212" s="5">
        <v>0.129</v>
      </c>
      <c r="H212">
        <v>0.54400000000000004</v>
      </c>
      <c r="J212" s="3">
        <v>35467493556</v>
      </c>
      <c r="K212" s="3">
        <v>54344283231.921211</v>
      </c>
      <c r="L212" s="7">
        <v>866</v>
      </c>
      <c r="M212" s="9">
        <v>567683000</v>
      </c>
      <c r="N212" s="3">
        <v>869819731.95362186</v>
      </c>
      <c r="O212">
        <v>35534</v>
      </c>
      <c r="P212" s="10">
        <v>0.86981973195362183</v>
      </c>
      <c r="Q212" s="10">
        <v>54.34428323192121</v>
      </c>
      <c r="R212" s="3">
        <f t="shared" si="9"/>
        <v>245699685509.78024</v>
      </c>
      <c r="S212" s="2">
        <f t="shared" si="10"/>
        <v>0.35401743805610125</v>
      </c>
      <c r="T212" s="11">
        <f t="shared" si="11"/>
        <v>3.5401743805610125E-3</v>
      </c>
    </row>
    <row r="213" spans="1:20" x14ac:dyDescent="0.3">
      <c r="A213" t="s">
        <v>40</v>
      </c>
      <c r="B213" s="3">
        <v>94</v>
      </c>
      <c r="C213">
        <v>2010</v>
      </c>
      <c r="D213" s="2">
        <v>196.37101570709555</v>
      </c>
      <c r="E213" s="2">
        <v>253.0891497356383</v>
      </c>
      <c r="F213" s="11">
        <v>0.58959234501804292</v>
      </c>
      <c r="G213" s="5">
        <v>0.1152</v>
      </c>
      <c r="H213">
        <v>0.54700000000000004</v>
      </c>
      <c r="J213" s="3">
        <v>36431775499</v>
      </c>
      <c r="K213" s="3">
        <v>53239776561.558868</v>
      </c>
      <c r="L213" s="7">
        <v>857</v>
      </c>
      <c r="M213" s="9">
        <v>651295000</v>
      </c>
      <c r="N213" s="3">
        <v>951773549.34601676</v>
      </c>
      <c r="O213">
        <v>36793</v>
      </c>
      <c r="P213" s="10">
        <v>0.95177354934601677</v>
      </c>
      <c r="Q213" s="10">
        <v>53.23977656155887</v>
      </c>
      <c r="R213" s="3">
        <f t="shared" si="9"/>
        <v>253089149735.63831</v>
      </c>
      <c r="S213" s="2">
        <f t="shared" si="10"/>
        <v>0.37606256543995747</v>
      </c>
      <c r="T213" s="11">
        <f t="shared" si="11"/>
        <v>3.7606256543995745E-3</v>
      </c>
    </row>
    <row r="214" spans="1:20" x14ac:dyDescent="0.3">
      <c r="A214" t="s">
        <v>40</v>
      </c>
      <c r="B214" s="3">
        <v>94</v>
      </c>
      <c r="C214">
        <v>2011</v>
      </c>
      <c r="D214" s="2">
        <v>206.48748544394306</v>
      </c>
      <c r="E214" s="2">
        <v>254.93651579210285</v>
      </c>
      <c r="F214" s="11">
        <v>0.55307455407975958</v>
      </c>
      <c r="G214" s="5">
        <v>0.1158</v>
      </c>
      <c r="H214">
        <v>0.53500000000000003</v>
      </c>
      <c r="J214" s="3">
        <v>41162542448</v>
      </c>
      <c r="K214" s="3">
        <v>57572282540.789803</v>
      </c>
      <c r="L214" s="7">
        <v>892</v>
      </c>
      <c r="M214" s="9">
        <v>592305000</v>
      </c>
      <c r="N214" s="3">
        <v>828431597.81495392</v>
      </c>
      <c r="O214">
        <v>38072</v>
      </c>
      <c r="P214" s="10">
        <v>0.8284315978149539</v>
      </c>
      <c r="Q214" s="10">
        <v>57.5722825407898</v>
      </c>
      <c r="R214" s="3">
        <f t="shared" si="9"/>
        <v>254936515792.10284</v>
      </c>
      <c r="S214" s="2">
        <f t="shared" si="10"/>
        <v>0.3249560366983788</v>
      </c>
      <c r="T214" s="11">
        <f t="shared" si="11"/>
        <v>3.2495603669837878E-3</v>
      </c>
    </row>
    <row r="215" spans="1:20" x14ac:dyDescent="0.3">
      <c r="A215" t="s">
        <v>40</v>
      </c>
      <c r="B215" s="3">
        <v>94</v>
      </c>
      <c r="C215">
        <v>2012</v>
      </c>
      <c r="D215" s="2">
        <v>231.76914444914621</v>
      </c>
      <c r="E215" s="2">
        <v>273.41017635674802</v>
      </c>
      <c r="F215" s="11">
        <v>0.60335869314725554</v>
      </c>
      <c r="G215" s="5">
        <v>0.1133</v>
      </c>
      <c r="H215">
        <v>0.52700000000000002</v>
      </c>
      <c r="J215" s="3">
        <v>41371623953</v>
      </c>
      <c r="K215" s="3">
        <v>54749354838.200714</v>
      </c>
      <c r="L215" s="7">
        <v>894</v>
      </c>
      <c r="M215" s="9">
        <v>568265000</v>
      </c>
      <c r="N215" s="3">
        <v>752016458.49036288</v>
      </c>
      <c r="O215">
        <v>39354</v>
      </c>
      <c r="P215" s="10">
        <v>0.75201645849036292</v>
      </c>
      <c r="Q215" s="10">
        <v>54.749354838200716</v>
      </c>
      <c r="R215" s="3">
        <f t="shared" si="9"/>
        <v>273410176356.74802</v>
      </c>
      <c r="S215" s="2">
        <f t="shared" si="10"/>
        <v>0.27505064680150204</v>
      </c>
      <c r="T215" s="11">
        <f t="shared" si="11"/>
        <v>2.7505064680150206E-3</v>
      </c>
    </row>
    <row r="216" spans="1:20" x14ac:dyDescent="0.3">
      <c r="A216" t="s">
        <v>40</v>
      </c>
      <c r="B216" s="3">
        <v>94</v>
      </c>
      <c r="C216">
        <v>2013</v>
      </c>
      <c r="D216" s="2">
        <v>257.73995113494777</v>
      </c>
      <c r="E216" s="2">
        <v>290.03647086492862</v>
      </c>
      <c r="F216" s="11">
        <v>0.64330535361165475</v>
      </c>
      <c r="G216" s="5">
        <v>8.9099999999999999E-2</v>
      </c>
      <c r="H216">
        <v>0.52800000000000002</v>
      </c>
      <c r="J216" s="3">
        <v>50199496307</v>
      </c>
      <c r="K216" s="3">
        <v>61695180961.303001</v>
      </c>
      <c r="L216" s="7">
        <v>1553</v>
      </c>
      <c r="M216" s="9">
        <v>1234150000</v>
      </c>
      <c r="N216" s="3">
        <v>1516770350</v>
      </c>
      <c r="O216">
        <v>40638</v>
      </c>
      <c r="P216" s="10">
        <v>1.51677035</v>
      </c>
      <c r="Q216" s="10">
        <v>61.695180961303002</v>
      </c>
      <c r="R216" s="3">
        <f t="shared" si="9"/>
        <v>290036470864.92859</v>
      </c>
      <c r="S216" s="2">
        <f t="shared" si="10"/>
        <v>0.52295849052251342</v>
      </c>
      <c r="T216" s="11">
        <f t="shared" si="11"/>
        <v>5.2295849052251342E-3</v>
      </c>
    </row>
    <row r="217" spans="1:20" x14ac:dyDescent="0.3">
      <c r="A217" t="s">
        <v>40</v>
      </c>
      <c r="B217" s="3">
        <v>94</v>
      </c>
      <c r="C217">
        <v>2014</v>
      </c>
      <c r="D217" s="2">
        <v>274.78127797276852</v>
      </c>
      <c r="E217" s="2">
        <v>291.88383692139314</v>
      </c>
      <c r="F217" s="11">
        <v>0.62422307118099885</v>
      </c>
      <c r="G217" s="5">
        <v>0.10249999999999999</v>
      </c>
      <c r="H217">
        <v>0.52700000000000002</v>
      </c>
      <c r="J217" s="3">
        <v>46736731020</v>
      </c>
      <c r="K217" s="3">
        <v>56313178846.647057</v>
      </c>
      <c r="L217" s="7">
        <v>1882</v>
      </c>
      <c r="M217" s="9">
        <v>1641744800</v>
      </c>
      <c r="N217" s="3">
        <v>1978141528.6274509</v>
      </c>
      <c r="O217">
        <v>41946</v>
      </c>
      <c r="P217" s="10">
        <v>1.9781415286274509</v>
      </c>
      <c r="Q217" s="10">
        <v>56.313178846647055</v>
      </c>
      <c r="R217" s="3">
        <f t="shared" si="9"/>
        <v>291883836921.39313</v>
      </c>
      <c r="S217" s="2">
        <f t="shared" si="10"/>
        <v>0.67771533685854002</v>
      </c>
      <c r="T217" s="11">
        <f t="shared" si="11"/>
        <v>6.7771533685854002E-3</v>
      </c>
    </row>
    <row r="218" spans="1:20" x14ac:dyDescent="0.3">
      <c r="A218" t="s">
        <v>40</v>
      </c>
      <c r="B218" s="3">
        <v>94</v>
      </c>
      <c r="C218">
        <v>2015</v>
      </c>
      <c r="D218" s="2">
        <v>307.30493173785527</v>
      </c>
      <c r="E218" s="2">
        <v>307.30493173785527</v>
      </c>
      <c r="F218" s="11">
        <v>0.68202422186090361</v>
      </c>
      <c r="G218" s="5">
        <v>0.11199999999999999</v>
      </c>
      <c r="H218">
        <v>0.51100000000000001</v>
      </c>
      <c r="J218" s="3">
        <v>53352082314</v>
      </c>
      <c r="K218" s="3">
        <v>62304930790.484612</v>
      </c>
      <c r="L218" s="7">
        <v>2219</v>
      </c>
      <c r="M218" s="9">
        <v>1841412800</v>
      </c>
      <c r="N218" s="3">
        <v>2150414605.8532877</v>
      </c>
      <c r="O218">
        <v>43291</v>
      </c>
      <c r="P218" s="10">
        <v>2.1504146058532876</v>
      </c>
      <c r="Q218" s="10">
        <v>62.304930790484612</v>
      </c>
      <c r="R218" s="3">
        <f t="shared" si="9"/>
        <v>307304931737.85529</v>
      </c>
      <c r="S218" s="2">
        <f t="shared" si="10"/>
        <v>0.69976573226220995</v>
      </c>
      <c r="T218" s="11">
        <f t="shared" si="11"/>
        <v>6.9976573226220992E-3</v>
      </c>
    </row>
    <row r="219" spans="1:20" x14ac:dyDescent="0.3">
      <c r="A219" t="s">
        <v>40</v>
      </c>
      <c r="B219" s="3">
        <v>94</v>
      </c>
      <c r="C219">
        <v>2016</v>
      </c>
      <c r="D219" s="2">
        <v>331.81443652208782</v>
      </c>
      <c r="E219" s="2">
        <v>306.52682058514216</v>
      </c>
      <c r="F219" s="11">
        <v>0.6895</v>
      </c>
      <c r="G219" s="5">
        <v>0.11550000000000001</v>
      </c>
      <c r="H219">
        <v>0.50800000000000001</v>
      </c>
      <c r="J219" s="3">
        <v>55572553780</v>
      </c>
      <c r="K219" s="3">
        <v>62567486804.342262</v>
      </c>
      <c r="L219" s="7">
        <v>2163</v>
      </c>
      <c r="M219" s="9">
        <v>1843277750</v>
      </c>
      <c r="N219" s="3">
        <v>2075291640.4818618</v>
      </c>
      <c r="O219">
        <v>44722</v>
      </c>
      <c r="P219" s="10">
        <v>2.0752916404818618</v>
      </c>
      <c r="Q219" s="10">
        <v>62.567486804342259</v>
      </c>
      <c r="R219" s="3">
        <f t="shared" si="9"/>
        <v>306526820585.14215</v>
      </c>
      <c r="S219" s="2">
        <f t="shared" si="10"/>
        <v>0.67703427599589783</v>
      </c>
      <c r="T219" s="11">
        <f t="shared" si="11"/>
        <v>6.7703427599589781E-3</v>
      </c>
    </row>
    <row r="220" spans="1:20" x14ac:dyDescent="0.3">
      <c r="A220" t="s">
        <v>40</v>
      </c>
      <c r="B220" s="3">
        <v>94</v>
      </c>
      <c r="C220">
        <v>2017</v>
      </c>
      <c r="D220" s="2">
        <v>338.52629515606247</v>
      </c>
      <c r="E220" s="2">
        <v>304.26329174641432</v>
      </c>
      <c r="F220" s="11">
        <v>0.68073358188025568</v>
      </c>
      <c r="G220" s="5">
        <v>0.11560000000000001</v>
      </c>
      <c r="H220">
        <v>0.49700000000000005</v>
      </c>
      <c r="J220" s="3">
        <v>63913743935</v>
      </c>
      <c r="K220" s="3">
        <v>70246817471.038284</v>
      </c>
      <c r="L220" s="7">
        <v>2178</v>
      </c>
      <c r="M220" s="9">
        <v>1801267500</v>
      </c>
      <c r="N220" s="3">
        <v>1979751169.2899303</v>
      </c>
      <c r="O220">
        <v>46250</v>
      </c>
      <c r="P220" s="10">
        <v>1.9797511692899303</v>
      </c>
      <c r="Q220" s="10">
        <v>70.246817471038284</v>
      </c>
      <c r="R220" s="3">
        <f t="shared" si="9"/>
        <v>304263291746.41431</v>
      </c>
      <c r="S220" s="2">
        <f t="shared" si="10"/>
        <v>0.65067039731494702</v>
      </c>
      <c r="T220" s="11">
        <f t="shared" si="11"/>
        <v>6.5067039731494698E-3</v>
      </c>
    </row>
    <row r="221" spans="1:20" x14ac:dyDescent="0.3">
      <c r="A221" t="s">
        <v>40</v>
      </c>
      <c r="B221" s="3">
        <v>94</v>
      </c>
      <c r="C221">
        <v>2018</v>
      </c>
      <c r="D221" s="2">
        <v>365.43321138184547</v>
      </c>
      <c r="E221" s="2">
        <v>314.94749704996809</v>
      </c>
      <c r="F221" s="11">
        <v>0.66744860988182031</v>
      </c>
      <c r="G221" s="5">
        <v>9.5000000000000001E-2</v>
      </c>
      <c r="H221">
        <v>0.504</v>
      </c>
      <c r="J221" s="3">
        <v>62121524040</v>
      </c>
      <c r="K221" s="3">
        <v>66983113743.779602</v>
      </c>
      <c r="L221" s="7">
        <v>2045</v>
      </c>
      <c r="M221" s="9">
        <v>1613062950</v>
      </c>
      <c r="N221" s="3">
        <v>1739300197.8855939</v>
      </c>
      <c r="O221">
        <v>48114</v>
      </c>
      <c r="P221" s="10">
        <v>1.739300197885594</v>
      </c>
      <c r="Q221" s="10">
        <v>66.983113743779597</v>
      </c>
      <c r="R221" s="3">
        <f t="shared" si="9"/>
        <v>314947497049.96808</v>
      </c>
      <c r="S221" s="2">
        <f t="shared" si="10"/>
        <v>0.55225083995814228</v>
      </c>
      <c r="T221" s="11">
        <f t="shared" si="11"/>
        <v>5.5225083995814224E-3</v>
      </c>
    </row>
    <row r="222" spans="1:20" x14ac:dyDescent="0.3">
      <c r="A222" t="s">
        <v>41</v>
      </c>
      <c r="B222" s="3">
        <v>95</v>
      </c>
      <c r="C222">
        <v>2008</v>
      </c>
      <c r="D222" s="2">
        <v>441.94344744994538</v>
      </c>
      <c r="E222" s="2">
        <v>572.53647415485898</v>
      </c>
      <c r="F222" s="11">
        <v>0.60614878603166689</v>
      </c>
      <c r="G222" s="5">
        <v>0.1439</v>
      </c>
      <c r="H222">
        <v>0.55500000000000005</v>
      </c>
      <c r="I222" s="1"/>
      <c r="J222" s="3">
        <v>60593581213</v>
      </c>
      <c r="K222" s="3">
        <v>97947535592.235947</v>
      </c>
      <c r="L222" s="7">
        <v>5732</v>
      </c>
      <c r="M222" s="9">
        <v>3820882000</v>
      </c>
      <c r="N222" s="9">
        <v>6176330366.9604101</v>
      </c>
      <c r="O222">
        <v>72786</v>
      </c>
      <c r="P222" s="10">
        <v>6.1763303669604097</v>
      </c>
      <c r="Q222" s="10">
        <v>97.947535592235951</v>
      </c>
      <c r="R222" s="3">
        <f t="shared" si="9"/>
        <v>572536474154.85901</v>
      </c>
      <c r="S222" s="2">
        <f t="shared" si="10"/>
        <v>1.0787662700577298</v>
      </c>
      <c r="T222" s="11">
        <f t="shared" si="11"/>
        <v>1.0787662700577299E-2</v>
      </c>
    </row>
    <row r="223" spans="1:20" x14ac:dyDescent="0.3">
      <c r="A223" t="s">
        <v>41</v>
      </c>
      <c r="B223" s="3">
        <v>95</v>
      </c>
      <c r="C223">
        <v>2009</v>
      </c>
      <c r="D223" s="2">
        <v>450.32381268023107</v>
      </c>
      <c r="E223" s="2">
        <v>555.9412140344283</v>
      </c>
      <c r="F223" s="11">
        <v>0.56222876557225687</v>
      </c>
      <c r="G223" s="5">
        <v>0.1245</v>
      </c>
      <c r="H223">
        <v>0.54400000000000004</v>
      </c>
      <c r="J223" s="3">
        <v>56146805971</v>
      </c>
      <c r="K223" s="3">
        <v>86029702703.352463</v>
      </c>
      <c r="L223" s="7">
        <v>9178</v>
      </c>
      <c r="M223" s="9">
        <v>5440015000</v>
      </c>
      <c r="N223" s="3">
        <v>8335342768.9814243</v>
      </c>
      <c r="O223">
        <v>72900</v>
      </c>
      <c r="P223" s="10">
        <v>8.335342768981425</v>
      </c>
      <c r="Q223" s="10">
        <v>86.029702703352456</v>
      </c>
      <c r="R223" s="3">
        <f t="shared" si="9"/>
        <v>555941214034.42834</v>
      </c>
      <c r="S223" s="2">
        <f t="shared" si="10"/>
        <v>1.499320891950499</v>
      </c>
      <c r="T223" s="11">
        <f t="shared" si="11"/>
        <v>1.499320891950499E-2</v>
      </c>
    </row>
    <row r="224" spans="1:20" x14ac:dyDescent="0.3">
      <c r="A224" t="s">
        <v>41</v>
      </c>
      <c r="B224" s="3">
        <v>95</v>
      </c>
      <c r="C224">
        <v>2010</v>
      </c>
      <c r="D224" s="2">
        <v>471.54174511793144</v>
      </c>
      <c r="E224" s="2">
        <v>547.6435839742129</v>
      </c>
      <c r="F224" s="11">
        <v>0.60024238329862933</v>
      </c>
      <c r="G224" s="5">
        <v>0.12789999999999999</v>
      </c>
      <c r="H224">
        <v>0.54700000000000004</v>
      </c>
      <c r="J224" s="3">
        <v>61483530799</v>
      </c>
      <c r="K224" s="3">
        <v>89849297683.6754</v>
      </c>
      <c r="L224" s="7">
        <v>8376</v>
      </c>
      <c r="M224" s="9">
        <v>5725187000</v>
      </c>
      <c r="N224" s="3">
        <v>8366533677.7645674</v>
      </c>
      <c r="O224">
        <v>73194</v>
      </c>
      <c r="P224" s="10">
        <v>8.3665336777645667</v>
      </c>
      <c r="Q224" s="10">
        <v>89.849297683675402</v>
      </c>
      <c r="R224" s="3">
        <f t="shared" si="9"/>
        <v>547643583974.21289</v>
      </c>
      <c r="S224" s="2">
        <f t="shared" si="10"/>
        <v>1.527733351142214</v>
      </c>
      <c r="T224" s="11">
        <f t="shared" si="11"/>
        <v>1.527733351142214E-2</v>
      </c>
    </row>
    <row r="225" spans="1:20" x14ac:dyDescent="0.3">
      <c r="A225" t="s">
        <v>41</v>
      </c>
      <c r="B225" s="3">
        <v>95</v>
      </c>
      <c r="C225">
        <v>2011</v>
      </c>
      <c r="D225" s="2">
        <v>483.91832643147927</v>
      </c>
      <c r="E225" s="2">
        <v>560.91979207055738</v>
      </c>
      <c r="F225" s="11">
        <v>0.61005457217272852</v>
      </c>
      <c r="G225" s="5">
        <v>0.1173</v>
      </c>
      <c r="H225">
        <v>0.53500000000000003</v>
      </c>
      <c r="J225" s="3">
        <v>61674793168</v>
      </c>
      <c r="K225" s="3">
        <v>86261887792.730164</v>
      </c>
      <c r="L225" s="7">
        <v>7649</v>
      </c>
      <c r="M225" s="9">
        <v>4526500000</v>
      </c>
      <c r="N225" s="3">
        <v>6331021395.2429724</v>
      </c>
      <c r="O225">
        <v>73652</v>
      </c>
      <c r="P225" s="10">
        <v>6.3310213952429724</v>
      </c>
      <c r="Q225" s="10">
        <v>86.261887792730164</v>
      </c>
      <c r="R225" s="3">
        <f t="shared" si="9"/>
        <v>560919792070.55737</v>
      </c>
      <c r="S225" s="2">
        <f t="shared" si="10"/>
        <v>1.1286856846097171</v>
      </c>
      <c r="T225" s="11">
        <f t="shared" si="11"/>
        <v>1.1286856846097171E-2</v>
      </c>
    </row>
    <row r="226" spans="1:20" x14ac:dyDescent="0.3">
      <c r="A226" t="s">
        <v>41</v>
      </c>
      <c r="B226" s="3">
        <v>95</v>
      </c>
      <c r="C226">
        <v>2012</v>
      </c>
      <c r="D226" s="2">
        <v>530.2015811528164</v>
      </c>
      <c r="E226" s="2">
        <v>580.83410421507415</v>
      </c>
      <c r="F226" s="11">
        <v>0.62313272615811865</v>
      </c>
      <c r="G226" s="5">
        <v>0.14699999999999999</v>
      </c>
      <c r="H226">
        <v>0.52700000000000002</v>
      </c>
      <c r="J226" s="3">
        <v>62183103877</v>
      </c>
      <c r="K226" s="3">
        <v>82290335592.584259</v>
      </c>
      <c r="L226" s="7">
        <v>6838</v>
      </c>
      <c r="M226" s="9">
        <v>3729828000</v>
      </c>
      <c r="N226" s="3">
        <v>4935887382.362442</v>
      </c>
      <c r="O226">
        <v>74281</v>
      </c>
      <c r="P226" s="10">
        <v>4.9358873823624423</v>
      </c>
      <c r="Q226" s="10">
        <v>82.290335592584256</v>
      </c>
      <c r="R226" s="3">
        <f t="shared" si="9"/>
        <v>580834104215.0741</v>
      </c>
      <c r="S226" s="2">
        <f t="shared" si="10"/>
        <v>0.84979296954897088</v>
      </c>
      <c r="T226" s="11">
        <f t="shared" si="11"/>
        <v>8.4979296954897088E-3</v>
      </c>
    </row>
    <row r="227" spans="1:20" x14ac:dyDescent="0.3">
      <c r="A227" t="s">
        <v>41</v>
      </c>
      <c r="B227" s="3">
        <v>95</v>
      </c>
      <c r="C227">
        <v>2013</v>
      </c>
      <c r="D227" s="2">
        <v>571.99668104518753</v>
      </c>
      <c r="E227" s="2">
        <v>609.04604641980632</v>
      </c>
      <c r="F227" s="11">
        <v>0.61868449781575419</v>
      </c>
      <c r="G227" s="5">
        <v>0.17100000000000001</v>
      </c>
      <c r="H227">
        <v>0.52800000000000002</v>
      </c>
      <c r="J227" s="3">
        <v>64016365814</v>
      </c>
      <c r="K227" s="3">
        <v>78676113585.406006</v>
      </c>
      <c r="L227" s="7">
        <v>8322</v>
      </c>
      <c r="M227" s="9">
        <v>6019030000</v>
      </c>
      <c r="N227" s="3">
        <v>7397387870.000001</v>
      </c>
      <c r="O227">
        <v>75092</v>
      </c>
      <c r="P227" s="10">
        <v>7.3973878700000011</v>
      </c>
      <c r="Q227" s="10">
        <v>78.676113585406</v>
      </c>
      <c r="R227" s="3">
        <f t="shared" si="9"/>
        <v>609046046419.80627</v>
      </c>
      <c r="S227" s="2">
        <f t="shared" si="10"/>
        <v>1.2145859764601596</v>
      </c>
      <c r="T227" s="11">
        <f t="shared" si="11"/>
        <v>1.2145859764601596E-2</v>
      </c>
    </row>
    <row r="228" spans="1:20" x14ac:dyDescent="0.3">
      <c r="A228" t="s">
        <v>41</v>
      </c>
      <c r="B228" s="3">
        <v>95</v>
      </c>
      <c r="C228">
        <v>2014</v>
      </c>
      <c r="D228" s="2">
        <v>619.9590040154236</v>
      </c>
      <c r="E228" s="2">
        <v>647.21514469679687</v>
      </c>
      <c r="F228" s="11">
        <v>0.63921496563617008</v>
      </c>
      <c r="G228" s="5">
        <v>0.15060000000000001</v>
      </c>
      <c r="H228">
        <v>0.52700000000000002</v>
      </c>
      <c r="J228" s="3">
        <v>65161197414</v>
      </c>
      <c r="K228" s="3">
        <v>78512854531.182343</v>
      </c>
      <c r="L228" s="7">
        <v>8860</v>
      </c>
      <c r="M228" s="9">
        <v>6988105000</v>
      </c>
      <c r="N228" s="3">
        <v>8419981416.666666</v>
      </c>
      <c r="O228">
        <v>76101</v>
      </c>
      <c r="P228" s="10">
        <v>8.4199814166666656</v>
      </c>
      <c r="Q228" s="10">
        <v>78.512854531182342</v>
      </c>
      <c r="R228" s="3">
        <f t="shared" si="9"/>
        <v>647215144696.79688</v>
      </c>
      <c r="S228" s="2">
        <f t="shared" si="10"/>
        <v>1.3009555610153722</v>
      </c>
      <c r="T228" s="11">
        <f t="shared" si="11"/>
        <v>1.3009555610153722E-2</v>
      </c>
    </row>
    <row r="229" spans="1:20" x14ac:dyDescent="0.3">
      <c r="A229" t="s">
        <v>41</v>
      </c>
      <c r="B229" s="3">
        <v>95</v>
      </c>
      <c r="C229">
        <v>2015</v>
      </c>
      <c r="D229" s="2">
        <v>677.36812242134408</v>
      </c>
      <c r="E229" s="2">
        <v>677.36812242134408</v>
      </c>
      <c r="F229" s="11">
        <v>0.67545541113064234</v>
      </c>
      <c r="G229" s="5">
        <v>0.18479999999999999</v>
      </c>
      <c r="H229">
        <v>0.51100000000000001</v>
      </c>
      <c r="J229" s="3">
        <v>67237468244</v>
      </c>
      <c r="K229" s="3">
        <v>78520380531.999237</v>
      </c>
      <c r="L229" s="7">
        <v>8515</v>
      </c>
      <c r="M229" s="9">
        <v>7050864650</v>
      </c>
      <c r="N229" s="3">
        <v>8234048512.7803116</v>
      </c>
      <c r="O229">
        <v>77328</v>
      </c>
      <c r="P229" s="10">
        <v>8.234048512780312</v>
      </c>
      <c r="Q229" s="10">
        <v>78.520380531999237</v>
      </c>
      <c r="R229" s="3">
        <f t="shared" si="9"/>
        <v>677368122421.34412</v>
      </c>
      <c r="S229" s="2">
        <f t="shared" si="10"/>
        <v>1.2155943334543986</v>
      </c>
      <c r="T229" s="11">
        <f t="shared" si="11"/>
        <v>1.2155943334543985E-2</v>
      </c>
    </row>
    <row r="230" spans="1:20" x14ac:dyDescent="0.3">
      <c r="A230" t="s">
        <v>41</v>
      </c>
      <c r="B230" s="3">
        <v>95</v>
      </c>
      <c r="C230">
        <v>2016</v>
      </c>
      <c r="D230" s="2">
        <v>717.74795204858447</v>
      </c>
      <c r="E230" s="2">
        <v>675.84881570575544</v>
      </c>
      <c r="F230" s="11">
        <v>0.67890000000000006</v>
      </c>
      <c r="G230" s="5">
        <v>0.17519999999999999</v>
      </c>
      <c r="H230">
        <v>0.50800000000000001</v>
      </c>
      <c r="J230" s="3">
        <v>73421012100</v>
      </c>
      <c r="K230" s="3">
        <v>82662535609.105911</v>
      </c>
      <c r="L230" s="7">
        <v>8352</v>
      </c>
      <c r="M230" s="9">
        <v>6924190050</v>
      </c>
      <c r="N230" s="3">
        <v>7795739805.28582</v>
      </c>
      <c r="O230">
        <v>78796</v>
      </c>
      <c r="P230" s="10">
        <v>7.7957398052858204</v>
      </c>
      <c r="Q230" s="10">
        <v>82.662535609105916</v>
      </c>
      <c r="R230" s="3">
        <f t="shared" si="9"/>
        <v>675848815705.75549</v>
      </c>
      <c r="S230" s="2">
        <f t="shared" si="10"/>
        <v>1.1534739166695314</v>
      </c>
      <c r="T230" s="11">
        <f t="shared" si="11"/>
        <v>1.1534739166695314E-2</v>
      </c>
    </row>
    <row r="231" spans="1:20" x14ac:dyDescent="0.3">
      <c r="A231" t="s">
        <v>41</v>
      </c>
      <c r="B231" s="3">
        <v>95</v>
      </c>
      <c r="C231">
        <v>2017</v>
      </c>
      <c r="D231" s="2">
        <v>757.7384542661498</v>
      </c>
      <c r="E231" s="2">
        <v>692.45117946784183</v>
      </c>
      <c r="F231" s="11">
        <v>0.69255638700091837</v>
      </c>
      <c r="G231" s="5">
        <v>0.17920000000000003</v>
      </c>
      <c r="H231">
        <v>0.49700000000000005</v>
      </c>
      <c r="J231" s="3">
        <v>72344445989</v>
      </c>
      <c r="K231" s="3">
        <v>79512899410.195862</v>
      </c>
      <c r="L231" s="7">
        <v>8429</v>
      </c>
      <c r="M231" s="9">
        <v>6423536300</v>
      </c>
      <c r="N231" s="3">
        <v>7060030506.7966385</v>
      </c>
      <c r="O231">
        <v>80507</v>
      </c>
      <c r="P231" s="10">
        <v>7.0600305067966387</v>
      </c>
      <c r="Q231" s="10">
        <v>79.512899410195857</v>
      </c>
      <c r="R231" s="3">
        <f t="shared" si="9"/>
        <v>692451179467.8418</v>
      </c>
      <c r="S231" s="2">
        <f t="shared" si="10"/>
        <v>1.0195708688405107</v>
      </c>
      <c r="T231" s="11">
        <f t="shared" si="11"/>
        <v>1.0195708688405107E-2</v>
      </c>
    </row>
    <row r="232" spans="1:20" x14ac:dyDescent="0.3">
      <c r="A232" t="s">
        <v>41</v>
      </c>
      <c r="B232" s="3">
        <v>95</v>
      </c>
      <c r="C232">
        <v>2018</v>
      </c>
      <c r="D232" s="2">
        <v>788.57670938720935</v>
      </c>
      <c r="E232" s="2">
        <v>696.05819806665909</v>
      </c>
      <c r="F232" s="11">
        <v>0.69231307914583684</v>
      </c>
      <c r="G232" s="5">
        <v>0.18079999999999999</v>
      </c>
      <c r="H232">
        <v>0.504</v>
      </c>
      <c r="J232" s="3">
        <v>73619540498</v>
      </c>
      <c r="K232" s="3">
        <v>79380957424.146332</v>
      </c>
      <c r="L232" s="7">
        <v>8147</v>
      </c>
      <c r="M232" s="9">
        <v>6117270200</v>
      </c>
      <c r="N232" s="3">
        <v>6596003751.3598871</v>
      </c>
      <c r="O232">
        <v>82767</v>
      </c>
      <c r="P232" s="10">
        <v>6.5960037513598868</v>
      </c>
      <c r="Q232" s="10">
        <v>79.380957424146331</v>
      </c>
      <c r="R232" s="3">
        <f t="shared" si="9"/>
        <v>696058198066.65906</v>
      </c>
      <c r="S232" s="2">
        <f t="shared" si="10"/>
        <v>0.94762245020325298</v>
      </c>
      <c r="T232" s="11">
        <f t="shared" si="11"/>
        <v>9.4762245020325302E-3</v>
      </c>
    </row>
    <row r="233" spans="1:20" x14ac:dyDescent="0.3">
      <c r="A233" t="s">
        <v>42</v>
      </c>
      <c r="B233" s="3">
        <v>41</v>
      </c>
      <c r="C233">
        <v>2008</v>
      </c>
      <c r="D233" s="2">
        <v>8491.3322639459984</v>
      </c>
      <c r="E233" s="2">
        <v>10947.470195532922</v>
      </c>
      <c r="F233" s="11">
        <v>0.66641754610404458</v>
      </c>
      <c r="G233" s="5">
        <v>0.2354</v>
      </c>
      <c r="H233">
        <v>0.55500000000000005</v>
      </c>
      <c r="I233" s="4">
        <v>0.57899999999999996</v>
      </c>
      <c r="J233" s="3">
        <v>231170221167</v>
      </c>
      <c r="K233" s="3">
        <v>373679076435.93707</v>
      </c>
      <c r="L233" s="3">
        <v>67660</v>
      </c>
      <c r="M233" s="3">
        <v>42660130000</v>
      </c>
      <c r="N233" s="3">
        <v>68958700210.443237</v>
      </c>
      <c r="O233" s="3">
        <v>977528</v>
      </c>
      <c r="P233" s="10">
        <v>68.95870021044324</v>
      </c>
      <c r="Q233" s="10">
        <v>373.67907643593708</v>
      </c>
      <c r="R233" s="3">
        <f t="shared" si="9"/>
        <v>10947470195532.922</v>
      </c>
      <c r="S233" s="2">
        <f t="shared" si="10"/>
        <v>0.62990534779972818</v>
      </c>
      <c r="T233" s="11">
        <f t="shared" si="11"/>
        <v>6.2990534779972822E-3</v>
      </c>
    </row>
    <row r="234" spans="1:20" x14ac:dyDescent="0.3">
      <c r="A234" t="s">
        <v>42</v>
      </c>
      <c r="B234" s="3">
        <v>41</v>
      </c>
      <c r="C234">
        <v>2009</v>
      </c>
      <c r="D234" s="2">
        <v>8587.106501395132</v>
      </c>
      <c r="E234" s="2">
        <v>11104.999199800037</v>
      </c>
      <c r="F234" s="11">
        <v>0.57456284908656485</v>
      </c>
      <c r="G234" s="5">
        <v>0.2475</v>
      </c>
      <c r="H234">
        <v>0.54400000000000004</v>
      </c>
      <c r="I234" s="4">
        <v>0.58299999999999996</v>
      </c>
      <c r="J234" s="3">
        <v>260757734229</v>
      </c>
      <c r="K234" s="3">
        <v>399540275984.84106</v>
      </c>
      <c r="L234" s="3">
        <v>97777</v>
      </c>
      <c r="M234" s="3">
        <v>59461810000</v>
      </c>
      <c r="N234" s="3">
        <v>91109044371.026062</v>
      </c>
      <c r="O234" s="3">
        <v>989375</v>
      </c>
      <c r="P234" s="10">
        <v>91.109044371026059</v>
      </c>
      <c r="Q234" s="10">
        <v>399.54027598484106</v>
      </c>
      <c r="R234" s="3">
        <f t="shared" si="9"/>
        <v>11104999199800.037</v>
      </c>
      <c r="S234" s="2">
        <f t="shared" si="10"/>
        <v>0.82043269640817829</v>
      </c>
      <c r="T234" s="11">
        <f t="shared" si="11"/>
        <v>8.2043269640817828E-3</v>
      </c>
    </row>
    <row r="235" spans="1:20" x14ac:dyDescent="0.3">
      <c r="A235" t="s">
        <v>42</v>
      </c>
      <c r="B235" s="3">
        <v>41</v>
      </c>
      <c r="C235">
        <v>2010</v>
      </c>
      <c r="D235" s="2">
        <v>9561.7255673663094</v>
      </c>
      <c r="E235" s="2">
        <v>11723.976802425374</v>
      </c>
      <c r="F235" s="11">
        <v>0.78084350598175623</v>
      </c>
      <c r="G235" s="5">
        <v>0.2576</v>
      </c>
      <c r="H235">
        <v>0.54700000000000004</v>
      </c>
      <c r="I235" s="4">
        <v>0.57099999999999995</v>
      </c>
      <c r="J235" s="3">
        <v>244855584416</v>
      </c>
      <c r="K235" s="3">
        <v>357821062125.16534</v>
      </c>
      <c r="L235" s="3">
        <v>93076</v>
      </c>
      <c r="M235" s="3">
        <v>63034455000</v>
      </c>
      <c r="N235" s="3">
        <v>92115749340.071365</v>
      </c>
      <c r="O235" s="3">
        <v>1001372</v>
      </c>
      <c r="P235" s="10">
        <v>92.115749340071361</v>
      </c>
      <c r="Q235" s="10">
        <v>357.82106212516533</v>
      </c>
      <c r="R235" s="3">
        <f t="shared" si="9"/>
        <v>11723976802425.373</v>
      </c>
      <c r="S235" s="2">
        <f t="shared" si="10"/>
        <v>0.78570395431876927</v>
      </c>
      <c r="T235" s="11">
        <f t="shared" si="11"/>
        <v>7.8570395431876924E-3</v>
      </c>
    </row>
    <row r="236" spans="1:20" x14ac:dyDescent="0.3">
      <c r="A236" t="s">
        <v>42</v>
      </c>
      <c r="B236" s="3">
        <v>41</v>
      </c>
      <c r="C236">
        <v>2011</v>
      </c>
      <c r="D236" s="2">
        <v>11262.865513085691</v>
      </c>
      <c r="E236" s="2">
        <v>12503.665813444433</v>
      </c>
      <c r="F236" s="11">
        <v>0.7250061528582461</v>
      </c>
      <c r="G236" s="5">
        <v>0.27110000000000001</v>
      </c>
      <c r="H236">
        <v>0.53500000000000003</v>
      </c>
      <c r="I236" s="4">
        <v>0.55500000000000005</v>
      </c>
      <c r="J236" s="3">
        <v>265872145113</v>
      </c>
      <c r="K236" s="3">
        <v>371863965339.56641</v>
      </c>
      <c r="L236" s="3">
        <v>86556</v>
      </c>
      <c r="M236" s="3">
        <v>51823145000</v>
      </c>
      <c r="N236" s="3">
        <v>72482810066.006607</v>
      </c>
      <c r="O236" s="3">
        <v>1013418</v>
      </c>
      <c r="P236" s="10">
        <v>72.482810066006607</v>
      </c>
      <c r="Q236" s="10">
        <v>371.86396533956639</v>
      </c>
      <c r="R236" s="3">
        <f t="shared" si="9"/>
        <v>12503665813444.434</v>
      </c>
      <c r="S236" s="2">
        <f t="shared" si="10"/>
        <v>0.57969247696999571</v>
      </c>
      <c r="T236" s="11">
        <f t="shared" si="11"/>
        <v>5.7969247696999567E-3</v>
      </c>
    </row>
    <row r="237" spans="1:20" x14ac:dyDescent="0.3">
      <c r="A237" t="s">
        <v>42</v>
      </c>
      <c r="B237" s="3">
        <v>41</v>
      </c>
      <c r="C237">
        <v>2012</v>
      </c>
      <c r="D237" s="2">
        <v>11689.550685886106</v>
      </c>
      <c r="E237" s="2">
        <v>12769.396558016235</v>
      </c>
      <c r="F237" s="11">
        <v>0.69577205940614173</v>
      </c>
      <c r="G237" s="5">
        <v>0.2903</v>
      </c>
      <c r="H237">
        <v>0.52700000000000002</v>
      </c>
      <c r="I237" s="4">
        <v>0.55900000000000005</v>
      </c>
      <c r="J237" s="3">
        <v>287729547585</v>
      </c>
      <c r="K237" s="3">
        <v>380768400971.21246</v>
      </c>
      <c r="L237" s="3">
        <v>78777</v>
      </c>
      <c r="M237" s="3">
        <v>43622610000</v>
      </c>
      <c r="N237" s="3">
        <v>57728208991.062775</v>
      </c>
      <c r="O237" s="3">
        <v>1025384</v>
      </c>
      <c r="P237" s="10">
        <v>57.728208991062772</v>
      </c>
      <c r="Q237" s="10">
        <v>380.76840097121249</v>
      </c>
      <c r="R237" s="3">
        <f t="shared" si="9"/>
        <v>12769396558016.234</v>
      </c>
      <c r="S237" s="2">
        <f t="shared" si="10"/>
        <v>0.45208251407011696</v>
      </c>
      <c r="T237" s="11">
        <f t="shared" si="11"/>
        <v>4.5208251407011695E-3</v>
      </c>
    </row>
    <row r="238" spans="1:20" x14ac:dyDescent="0.3">
      <c r="A238" t="s">
        <v>42</v>
      </c>
      <c r="B238" s="3">
        <v>41</v>
      </c>
      <c r="C238">
        <v>2013</v>
      </c>
      <c r="D238" s="2">
        <v>12413.573109667841</v>
      </c>
      <c r="E238" s="2">
        <v>13310.405259539662</v>
      </c>
      <c r="F238" s="11">
        <v>0.70557938968306533</v>
      </c>
      <c r="G238" s="5">
        <v>0.3044</v>
      </c>
      <c r="H238">
        <v>0.52800000000000002</v>
      </c>
      <c r="I238" s="4">
        <v>0.54600000000000004</v>
      </c>
      <c r="J238" s="3">
        <v>313659374573</v>
      </c>
      <c r="K238" s="3">
        <v>385487371350.21704</v>
      </c>
      <c r="L238" s="3">
        <v>103223</v>
      </c>
      <c r="M238" s="3">
        <v>70740355000</v>
      </c>
      <c r="N238" s="3">
        <v>86939896295</v>
      </c>
      <c r="O238" s="3">
        <v>1037252</v>
      </c>
      <c r="P238" s="10">
        <v>86.939896294999997</v>
      </c>
      <c r="Q238" s="10">
        <v>385.48737135021702</v>
      </c>
      <c r="R238" s="3">
        <f t="shared" si="9"/>
        <v>13310405259539.662</v>
      </c>
      <c r="S238" s="2">
        <f t="shared" si="10"/>
        <v>0.65317242112286222</v>
      </c>
      <c r="T238" s="11">
        <f t="shared" si="11"/>
        <v>6.5317242112286223E-3</v>
      </c>
    </row>
    <row r="239" spans="1:20" x14ac:dyDescent="0.3">
      <c r="A239" t="s">
        <v>42</v>
      </c>
      <c r="B239" s="3">
        <v>41</v>
      </c>
      <c r="C239">
        <v>2014</v>
      </c>
      <c r="D239" s="2">
        <v>13383.483390462263</v>
      </c>
      <c r="E239" s="2">
        <v>13915.062043595261</v>
      </c>
      <c r="F239" s="11">
        <v>0.76014101326666106</v>
      </c>
      <c r="G239" s="5">
        <v>0.30840000000000001</v>
      </c>
      <c r="H239">
        <v>0.52700000000000002</v>
      </c>
      <c r="I239" s="4">
        <v>0.54700000000000004</v>
      </c>
      <c r="J239" s="3">
        <v>329803773891</v>
      </c>
      <c r="K239" s="3">
        <v>397381213835.33234</v>
      </c>
      <c r="L239" s="3">
        <v>102571</v>
      </c>
      <c r="M239" s="3">
        <v>78300879200</v>
      </c>
      <c r="N239" s="3">
        <v>94344882879.215683</v>
      </c>
      <c r="O239" s="3">
        <v>1049215</v>
      </c>
      <c r="P239" s="10">
        <v>94.344882879215689</v>
      </c>
      <c r="Q239" s="10">
        <v>397.38121383533235</v>
      </c>
      <c r="R239" s="3">
        <f t="shared" si="9"/>
        <v>13915062043595.26</v>
      </c>
      <c r="S239" s="2">
        <f t="shared" si="10"/>
        <v>0.67800547768768427</v>
      </c>
      <c r="T239" s="11">
        <f t="shared" si="11"/>
        <v>6.780054776876843E-3</v>
      </c>
    </row>
    <row r="240" spans="1:20" x14ac:dyDescent="0.3">
      <c r="A240" t="s">
        <v>42</v>
      </c>
      <c r="B240" s="3">
        <v>41</v>
      </c>
      <c r="C240">
        <v>2015</v>
      </c>
      <c r="D240" s="2">
        <v>13805.323974530787</v>
      </c>
      <c r="E240" s="2">
        <v>13805.323974530787</v>
      </c>
      <c r="F240" s="11">
        <v>0.76106833899933291</v>
      </c>
      <c r="G240" s="5">
        <v>0.32679999999999998</v>
      </c>
      <c r="H240">
        <v>0.51100000000000001</v>
      </c>
      <c r="I240" s="4">
        <v>0.53600000000000003</v>
      </c>
      <c r="J240" s="3">
        <v>311309753724</v>
      </c>
      <c r="K240" s="3">
        <v>363549683890.91223</v>
      </c>
      <c r="L240" s="3">
        <v>96937</v>
      </c>
      <c r="M240" s="3">
        <v>75391075650</v>
      </c>
      <c r="N240" s="3">
        <v>88042219663.483475</v>
      </c>
      <c r="O240" s="3">
        <v>1061405</v>
      </c>
      <c r="P240" s="10">
        <v>88.042219663483479</v>
      </c>
      <c r="Q240" s="10">
        <v>363.54968389091221</v>
      </c>
      <c r="R240" s="3">
        <f t="shared" si="9"/>
        <v>13805323974530.787</v>
      </c>
      <c r="S240" s="2">
        <f t="shared" si="10"/>
        <v>0.6377410615347463</v>
      </c>
      <c r="T240" s="11">
        <f t="shared" si="11"/>
        <v>6.3774106153474631E-3</v>
      </c>
    </row>
    <row r="241" spans="1:20" x14ac:dyDescent="0.3">
      <c r="A241" t="s">
        <v>42</v>
      </c>
      <c r="B241" s="3">
        <v>41</v>
      </c>
      <c r="C241">
        <v>2016</v>
      </c>
      <c r="D241" s="2">
        <v>14693.322327379261</v>
      </c>
      <c r="E241" s="2">
        <v>13635.836397667399</v>
      </c>
      <c r="F241" s="11">
        <v>0.75090000000000001</v>
      </c>
      <c r="G241" s="5">
        <v>0.33990000000000004</v>
      </c>
      <c r="H241">
        <v>0.50800000000000001</v>
      </c>
      <c r="I241" s="4">
        <v>0.53200000000000003</v>
      </c>
      <c r="J241" s="3">
        <v>340448825790</v>
      </c>
      <c r="K241" s="3">
        <v>383301215551.40167</v>
      </c>
      <c r="L241" s="3">
        <v>94452</v>
      </c>
      <c r="M241" s="3">
        <v>76087081450</v>
      </c>
      <c r="N241" s="3">
        <v>85664183860.434235</v>
      </c>
      <c r="O241" s="3">
        <v>1073916</v>
      </c>
      <c r="P241" s="10">
        <v>85.664183860434235</v>
      </c>
      <c r="Q241" s="10">
        <v>383.3012155514017</v>
      </c>
      <c r="R241" s="3">
        <f t="shared" si="9"/>
        <v>13635836397667.398</v>
      </c>
      <c r="S241" s="2">
        <f t="shared" si="10"/>
        <v>0.62822830490316162</v>
      </c>
      <c r="T241" s="11">
        <f t="shared" si="11"/>
        <v>6.2822830490316161E-3</v>
      </c>
    </row>
    <row r="242" spans="1:20" x14ac:dyDescent="0.3">
      <c r="A242" t="s">
        <v>42</v>
      </c>
      <c r="B242" s="3">
        <v>41</v>
      </c>
      <c r="C242">
        <v>2017</v>
      </c>
      <c r="D242" s="2">
        <v>15222.315991816256</v>
      </c>
      <c r="E242" s="2">
        <v>13211.633615559287</v>
      </c>
      <c r="F242" s="11">
        <v>0.73834555836275828</v>
      </c>
      <c r="G242" s="5">
        <v>0.35340000000000005</v>
      </c>
      <c r="H242">
        <v>0.49700000000000005</v>
      </c>
      <c r="I242" s="4">
        <v>0.48699999999999999</v>
      </c>
      <c r="J242" s="3">
        <v>382398862362</v>
      </c>
      <c r="K242" s="3">
        <v>420289931893.13007</v>
      </c>
      <c r="L242" s="3">
        <v>93889</v>
      </c>
      <c r="M242" s="3">
        <v>73046802100</v>
      </c>
      <c r="N242" s="3">
        <v>80284850456.89502</v>
      </c>
      <c r="O242" s="3">
        <v>1086654</v>
      </c>
      <c r="P242" s="10">
        <v>80.284850456895015</v>
      </c>
      <c r="Q242" s="10">
        <v>420.28993189313007</v>
      </c>
      <c r="R242" s="3">
        <f t="shared" si="9"/>
        <v>13211633615559.287</v>
      </c>
      <c r="S242" s="2">
        <f t="shared" si="10"/>
        <v>0.60768299207407539</v>
      </c>
      <c r="T242" s="11">
        <f t="shared" si="11"/>
        <v>6.0768299207407542E-3</v>
      </c>
    </row>
    <row r="243" spans="1:20" x14ac:dyDescent="0.3">
      <c r="A243" t="s">
        <v>42</v>
      </c>
      <c r="B243" s="3">
        <v>41</v>
      </c>
      <c r="C243">
        <v>2018</v>
      </c>
      <c r="D243" s="2">
        <v>16051.067351123733</v>
      </c>
      <c r="E243" s="2">
        <v>13362.277878280196</v>
      </c>
      <c r="F243" s="11">
        <v>0.72404126777208722</v>
      </c>
      <c r="G243" s="5">
        <v>0.33740000000000003</v>
      </c>
      <c r="H243">
        <v>0.504</v>
      </c>
      <c r="I243" s="4">
        <v>0.51</v>
      </c>
      <c r="J243" s="3">
        <v>404356928652</v>
      </c>
      <c r="K243" s="3">
        <v>436001636526.85382</v>
      </c>
      <c r="L243" s="3">
        <v>89137</v>
      </c>
      <c r="M243" s="3">
        <v>68226144450</v>
      </c>
      <c r="N243" s="3">
        <v>73565477740.87558</v>
      </c>
      <c r="O243" s="3">
        <v>1100386</v>
      </c>
      <c r="P243" s="10">
        <v>73.565477740875579</v>
      </c>
      <c r="Q243" s="10">
        <v>436.00163652685382</v>
      </c>
      <c r="R243" s="3">
        <f t="shared" si="9"/>
        <v>13362277878280.195</v>
      </c>
      <c r="S243" s="2">
        <f t="shared" si="10"/>
        <v>0.5505459354385458</v>
      </c>
      <c r="T243" s="11">
        <f t="shared" si="11"/>
        <v>5.5054593543854584E-3</v>
      </c>
    </row>
    <row r="244" spans="1:20" x14ac:dyDescent="0.3">
      <c r="A244" t="s">
        <v>43</v>
      </c>
      <c r="B244" s="3">
        <v>44</v>
      </c>
      <c r="C244">
        <v>2008</v>
      </c>
      <c r="D244" s="2">
        <v>6488.1553238172964</v>
      </c>
      <c r="E244" s="2">
        <v>7343.1096211058148</v>
      </c>
      <c r="F244" s="11">
        <v>0.47816668577941374</v>
      </c>
      <c r="G244" s="5">
        <v>0.18909999999999999</v>
      </c>
      <c r="H244">
        <v>0.55500000000000005</v>
      </c>
      <c r="I244" s="4">
        <v>0.59199999999999997</v>
      </c>
      <c r="J244" s="3">
        <v>171676310427</v>
      </c>
      <c r="K244" s="3">
        <v>277509122076.52637</v>
      </c>
      <c r="L244" s="3">
        <v>26434</v>
      </c>
      <c r="M244" s="3">
        <v>16283582000</v>
      </c>
      <c r="N244" s="3">
        <v>26321875941.07589</v>
      </c>
      <c r="O244" s="3">
        <v>691093</v>
      </c>
      <c r="P244" s="10">
        <v>26.321875941075891</v>
      </c>
      <c r="Q244" s="10">
        <v>277.50912207652635</v>
      </c>
      <c r="R244" s="3">
        <f t="shared" si="9"/>
        <v>7343109621105.8145</v>
      </c>
      <c r="S244" s="2">
        <f t="shared" si="10"/>
        <v>0.35845680235278882</v>
      </c>
      <c r="T244" s="11">
        <f t="shared" si="11"/>
        <v>3.5845680235278882E-3</v>
      </c>
    </row>
    <row r="245" spans="1:20" x14ac:dyDescent="0.3">
      <c r="A245" t="s">
        <v>43</v>
      </c>
      <c r="B245" s="3">
        <v>44</v>
      </c>
      <c r="C245">
        <v>2009</v>
      </c>
      <c r="D245" s="2">
        <v>6792.3554035105653</v>
      </c>
      <c r="E245" s="2">
        <v>7447.419513363011</v>
      </c>
      <c r="F245" s="11">
        <v>0.54519325567769317</v>
      </c>
      <c r="G245" s="5">
        <v>0.19190000000000002</v>
      </c>
      <c r="H245">
        <v>0.54400000000000004</v>
      </c>
      <c r="I245" s="4">
        <v>0.56899999999999995</v>
      </c>
      <c r="J245" s="3">
        <v>190396078716</v>
      </c>
      <c r="K245" s="3">
        <v>291730184193.94592</v>
      </c>
      <c r="L245" s="3">
        <v>49298</v>
      </c>
      <c r="M245" s="3">
        <v>25274115000</v>
      </c>
      <c r="N245" s="3">
        <v>38725704195.237503</v>
      </c>
      <c r="O245" s="3">
        <v>706943</v>
      </c>
      <c r="P245" s="10">
        <v>38.725704195237505</v>
      </c>
      <c r="Q245" s="10">
        <v>291.73018419394595</v>
      </c>
      <c r="R245" s="3">
        <f t="shared" si="9"/>
        <v>7447419513363.0107</v>
      </c>
      <c r="S245" s="2">
        <f t="shared" si="10"/>
        <v>0.51998822042657089</v>
      </c>
      <c r="T245" s="11">
        <f t="shared" si="11"/>
        <v>5.1998822042657088E-3</v>
      </c>
    </row>
    <row r="246" spans="1:20" x14ac:dyDescent="0.3">
      <c r="A246" t="s">
        <v>43</v>
      </c>
      <c r="B246" s="3">
        <v>44</v>
      </c>
      <c r="C246">
        <v>2010</v>
      </c>
      <c r="D246" s="2">
        <v>6930.9995693544961</v>
      </c>
      <c r="E246" s="2">
        <v>7537.9236845861669</v>
      </c>
      <c r="F246" s="11">
        <v>0.74558438976535923</v>
      </c>
      <c r="G246" s="5">
        <v>0.17530000000000001</v>
      </c>
      <c r="H246">
        <v>0.54700000000000004</v>
      </c>
      <c r="I246" s="4">
        <v>0.61299999999999999</v>
      </c>
      <c r="J246" s="3">
        <v>158571395384</v>
      </c>
      <c r="K246" s="3">
        <v>231729185406.58267</v>
      </c>
      <c r="L246" s="3">
        <v>48251</v>
      </c>
      <c r="M246" s="3">
        <v>35370735000</v>
      </c>
      <c r="N246" s="3">
        <v>51689219161.712257</v>
      </c>
      <c r="O246" s="3">
        <v>722913</v>
      </c>
      <c r="P246" s="10">
        <v>51.689219161712259</v>
      </c>
      <c r="Q246" s="10">
        <v>231.72918540658267</v>
      </c>
      <c r="R246" s="3">
        <f t="shared" si="9"/>
        <v>7537923684586.167</v>
      </c>
      <c r="S246" s="2">
        <f t="shared" si="10"/>
        <v>0.68572224029553841</v>
      </c>
      <c r="T246" s="11">
        <f t="shared" si="11"/>
        <v>6.857222402955384E-3</v>
      </c>
    </row>
    <row r="247" spans="1:20" x14ac:dyDescent="0.3">
      <c r="A247" t="s">
        <v>43</v>
      </c>
      <c r="B247" s="3">
        <v>44</v>
      </c>
      <c r="C247">
        <v>2011</v>
      </c>
      <c r="D247" s="2">
        <v>8080.1739945299687</v>
      </c>
      <c r="E247" s="2">
        <v>8005.7842307397659</v>
      </c>
      <c r="F247" s="11">
        <v>0.57654402187675113</v>
      </c>
      <c r="G247" s="5">
        <v>0.16120000000000001</v>
      </c>
      <c r="H247">
        <v>0.53500000000000003</v>
      </c>
      <c r="I247" s="4">
        <v>0.56699999999999995</v>
      </c>
      <c r="J247" s="3">
        <v>184323916590</v>
      </c>
      <c r="K247" s="3">
        <v>257805955945.27142</v>
      </c>
      <c r="L247" s="3">
        <v>44799</v>
      </c>
      <c r="M247" s="3">
        <v>30013485000</v>
      </c>
      <c r="N247" s="3">
        <v>41978574103.789688</v>
      </c>
      <c r="O247" s="3">
        <v>738743</v>
      </c>
      <c r="P247" s="10">
        <v>41.97857410378969</v>
      </c>
      <c r="Q247" s="10">
        <v>257.80595594527142</v>
      </c>
      <c r="R247" s="3">
        <f t="shared" si="9"/>
        <v>8005784230739.7656</v>
      </c>
      <c r="S247" s="2">
        <f t="shared" si="10"/>
        <v>0.52435305391575238</v>
      </c>
      <c r="T247" s="11">
        <f t="shared" si="11"/>
        <v>5.2435305391575239E-3</v>
      </c>
    </row>
    <row r="248" spans="1:20" x14ac:dyDescent="0.3">
      <c r="A248" t="s">
        <v>43</v>
      </c>
      <c r="B248" s="3">
        <v>44</v>
      </c>
      <c r="C248">
        <v>2012</v>
      </c>
      <c r="D248" s="2">
        <v>8473.4307709088062</v>
      </c>
      <c r="E248" s="2">
        <v>8438.3634898063701</v>
      </c>
      <c r="F248" s="11">
        <v>0.70859688042936453</v>
      </c>
      <c r="G248" s="5">
        <v>0.155</v>
      </c>
      <c r="H248">
        <v>0.52700000000000002</v>
      </c>
      <c r="I248" s="4">
        <v>0.55600000000000005</v>
      </c>
      <c r="J248" s="3">
        <v>204471849116</v>
      </c>
      <c r="K248" s="3">
        <v>270588890452.85239</v>
      </c>
      <c r="L248" s="3">
        <v>42324</v>
      </c>
      <c r="M248" s="3">
        <v>26804020000</v>
      </c>
      <c r="N248" s="3">
        <v>35471239991.385811</v>
      </c>
      <c r="O248" s="3">
        <v>754574</v>
      </c>
      <c r="P248" s="10">
        <v>35.471239991385808</v>
      </c>
      <c r="Q248" s="10">
        <v>270.58889045285241</v>
      </c>
      <c r="R248" s="3">
        <f t="shared" si="9"/>
        <v>8438363489806.3701</v>
      </c>
      <c r="S248" s="2">
        <f t="shared" si="10"/>
        <v>0.42035686225457619</v>
      </c>
      <c r="T248" s="11">
        <f t="shared" si="11"/>
        <v>4.2035686225457619E-3</v>
      </c>
    </row>
    <row r="249" spans="1:20" x14ac:dyDescent="0.3">
      <c r="A249" t="s">
        <v>43</v>
      </c>
      <c r="B249" s="3">
        <v>44</v>
      </c>
      <c r="C249">
        <v>2013</v>
      </c>
      <c r="D249" s="2">
        <v>8187.8407575272586</v>
      </c>
      <c r="E249" s="2">
        <v>8479.7806529084919</v>
      </c>
      <c r="F249" s="11">
        <v>0.66244667833213444</v>
      </c>
      <c r="G249" s="5">
        <v>0.16010000000000002</v>
      </c>
      <c r="H249">
        <v>0.52800000000000002</v>
      </c>
      <c r="I249" s="4">
        <v>0.56200000000000006</v>
      </c>
      <c r="J249" s="3">
        <v>218597862347</v>
      </c>
      <c r="K249" s="3">
        <v>268656772824.46301</v>
      </c>
      <c r="L249" s="3">
        <v>61988</v>
      </c>
      <c r="M249" s="3">
        <v>51730820000</v>
      </c>
      <c r="N249" s="3">
        <v>63577177780.000008</v>
      </c>
      <c r="O249" s="3">
        <v>770616</v>
      </c>
      <c r="P249" s="10">
        <v>63.577177780000007</v>
      </c>
      <c r="Q249" s="10">
        <v>268.65677282446302</v>
      </c>
      <c r="R249" s="3">
        <f t="shared" si="9"/>
        <v>8479780652908.4922</v>
      </c>
      <c r="S249" s="2">
        <f t="shared" si="10"/>
        <v>0.74975026338910755</v>
      </c>
      <c r="T249" s="11">
        <f t="shared" si="11"/>
        <v>7.4975026338910756E-3</v>
      </c>
    </row>
    <row r="250" spans="1:20" x14ac:dyDescent="0.3">
      <c r="A250" t="s">
        <v>43</v>
      </c>
      <c r="B250" s="3">
        <v>44</v>
      </c>
      <c r="C250">
        <v>2014</v>
      </c>
      <c r="D250" s="2">
        <v>8360.965732634646</v>
      </c>
      <c r="E250" s="2">
        <v>8720.613786502312</v>
      </c>
      <c r="F250" s="11">
        <v>0.76012489878580669</v>
      </c>
      <c r="G250" s="5">
        <v>0.18920000000000001</v>
      </c>
      <c r="H250">
        <v>0.52700000000000002</v>
      </c>
      <c r="I250" s="4">
        <v>0.54900000000000004</v>
      </c>
      <c r="J250" s="3">
        <v>224710484857</v>
      </c>
      <c r="K250" s="3">
        <v>270754103812.99313</v>
      </c>
      <c r="L250" s="3">
        <v>62629</v>
      </c>
      <c r="M250" s="3">
        <v>60730337000</v>
      </c>
      <c r="N250" s="3">
        <v>73174102130.392151</v>
      </c>
      <c r="O250" s="3">
        <v>786618</v>
      </c>
      <c r="P250" s="10">
        <v>73.174102130392157</v>
      </c>
      <c r="Q250" s="10">
        <v>270.75410381299315</v>
      </c>
      <c r="R250" s="3">
        <f t="shared" si="9"/>
        <v>8720613786502.3115</v>
      </c>
      <c r="S250" s="2">
        <f t="shared" si="10"/>
        <v>0.83909348495229064</v>
      </c>
      <c r="T250" s="11">
        <f t="shared" si="11"/>
        <v>8.3909348495229061E-3</v>
      </c>
    </row>
    <row r="251" spans="1:20" x14ac:dyDescent="0.3">
      <c r="A251" t="s">
        <v>43</v>
      </c>
      <c r="B251" s="3">
        <v>44</v>
      </c>
      <c r="C251">
        <v>2015</v>
      </c>
      <c r="D251" s="2">
        <v>8665.8141002152988</v>
      </c>
      <c r="E251" s="2">
        <v>8665.8141002152988</v>
      </c>
      <c r="F251" s="11">
        <v>0.71913008644290188</v>
      </c>
      <c r="G251" s="5">
        <v>0.22589999999999999</v>
      </c>
      <c r="H251">
        <v>0.51100000000000001</v>
      </c>
      <c r="I251" s="4">
        <v>0.55100000000000005</v>
      </c>
      <c r="J251" s="3">
        <v>227417690018</v>
      </c>
      <c r="K251" s="3">
        <v>265579951569.86127</v>
      </c>
      <c r="L251" s="3">
        <v>61519</v>
      </c>
      <c r="M251" s="3">
        <v>55509975950</v>
      </c>
      <c r="N251" s="3">
        <v>64824933905.881798</v>
      </c>
      <c r="O251" s="3">
        <v>803092</v>
      </c>
      <c r="P251" s="10">
        <v>64.824933905881792</v>
      </c>
      <c r="Q251" s="10">
        <v>265.57995156986129</v>
      </c>
      <c r="R251" s="3">
        <f t="shared" si="9"/>
        <v>8665814100215.2988</v>
      </c>
      <c r="S251" s="2">
        <f t="shared" si="10"/>
        <v>0.74805359492158097</v>
      </c>
      <c r="T251" s="11">
        <f t="shared" si="11"/>
        <v>7.4805359492158101E-3</v>
      </c>
    </row>
    <row r="252" spans="1:20" x14ac:dyDescent="0.3">
      <c r="A252" t="s">
        <v>43</v>
      </c>
      <c r="B252" s="3">
        <v>44</v>
      </c>
      <c r="C252">
        <v>2016</v>
      </c>
      <c r="D252" s="2">
        <v>9442.2746993744076</v>
      </c>
      <c r="E252" s="2">
        <v>8891.3409477896857</v>
      </c>
      <c r="F252" s="11">
        <v>0.70860000000000001</v>
      </c>
      <c r="G252" s="5">
        <v>0.2165</v>
      </c>
      <c r="H252">
        <v>0.50800000000000001</v>
      </c>
      <c r="I252" s="4">
        <v>0.54300000000000004</v>
      </c>
      <c r="J252" s="3">
        <v>249667809488</v>
      </c>
      <c r="K252" s="3">
        <v>281093567113.18439</v>
      </c>
      <c r="L252" s="3">
        <v>60677</v>
      </c>
      <c r="M252" s="3">
        <v>55446036800</v>
      </c>
      <c r="N252" s="3">
        <v>62425045096.372307</v>
      </c>
      <c r="O252" s="3">
        <v>822700</v>
      </c>
      <c r="P252" s="10">
        <v>62.425045096372308</v>
      </c>
      <c r="Q252" s="10">
        <v>281.09356711318441</v>
      </c>
      <c r="R252" s="3">
        <f t="shared" si="9"/>
        <v>8891340947789.6855</v>
      </c>
      <c r="S252" s="2">
        <f t="shared" si="10"/>
        <v>0.7020880816845817</v>
      </c>
      <c r="T252" s="11">
        <f t="shared" si="11"/>
        <v>7.0208808168458169E-3</v>
      </c>
    </row>
    <row r="253" spans="1:20" x14ac:dyDescent="0.3">
      <c r="A253" t="s">
        <v>43</v>
      </c>
      <c r="B253" s="3">
        <v>44</v>
      </c>
      <c r="C253">
        <v>2017</v>
      </c>
      <c r="D253" s="2">
        <v>10784.60889795219</v>
      </c>
      <c r="E253" s="2">
        <v>8996.2131490262855</v>
      </c>
      <c r="F253" s="11">
        <v>0.64451627891446905</v>
      </c>
      <c r="G253" s="5">
        <v>0.21829999999999999</v>
      </c>
      <c r="H253">
        <v>0.49700000000000005</v>
      </c>
      <c r="I253" s="4">
        <v>0.55300000000000005</v>
      </c>
      <c r="J253" s="3">
        <v>266963344082</v>
      </c>
      <c r="K253" s="3">
        <v>293416159789.64233</v>
      </c>
      <c r="L253" s="3">
        <v>59420</v>
      </c>
      <c r="M253" s="3">
        <v>49994112850</v>
      </c>
      <c r="N253" s="3">
        <v>54947920490.654625</v>
      </c>
      <c r="O253" s="3">
        <v>846012</v>
      </c>
      <c r="P253" s="10">
        <v>54.947920490654624</v>
      </c>
      <c r="Q253" s="10">
        <v>293.41615978964234</v>
      </c>
      <c r="R253" s="3">
        <f t="shared" si="9"/>
        <v>8996213149026.2852</v>
      </c>
      <c r="S253" s="2">
        <f t="shared" si="10"/>
        <v>0.61078944640836985</v>
      </c>
      <c r="T253" s="11">
        <f t="shared" si="11"/>
        <v>6.1078944640836986E-3</v>
      </c>
    </row>
    <row r="254" spans="1:20" x14ac:dyDescent="0.3">
      <c r="A254" t="s">
        <v>43</v>
      </c>
      <c r="B254" s="3">
        <v>44</v>
      </c>
      <c r="C254">
        <v>2018</v>
      </c>
      <c r="D254" s="2">
        <v>11856.887078341742</v>
      </c>
      <c r="E254" s="2">
        <v>8980.8359244383955</v>
      </c>
      <c r="F254" s="11">
        <v>0.63343368932812327</v>
      </c>
      <c r="G254" s="5">
        <v>0.2102</v>
      </c>
      <c r="H254">
        <v>0.504</v>
      </c>
      <c r="I254" s="4">
        <v>0.55200000000000005</v>
      </c>
      <c r="J254" s="3">
        <v>269920048198</v>
      </c>
      <c r="K254" s="3">
        <v>291043814033.46375</v>
      </c>
      <c r="L254" s="3">
        <v>58282</v>
      </c>
      <c r="M254" s="3">
        <v>48573840100</v>
      </c>
      <c r="N254" s="3">
        <v>52375196949.377075</v>
      </c>
      <c r="O254" s="3">
        <v>880560</v>
      </c>
      <c r="P254" s="10">
        <v>52.375196949377077</v>
      </c>
      <c r="Q254" s="10">
        <v>291.04381403346372</v>
      </c>
      <c r="R254" s="3">
        <f t="shared" si="9"/>
        <v>8980835924438.3965</v>
      </c>
      <c r="S254" s="2">
        <f t="shared" si="10"/>
        <v>0.58318844025259575</v>
      </c>
      <c r="T254" s="11">
        <f t="shared" si="11"/>
        <v>5.8318844025259577E-3</v>
      </c>
    </row>
    <row r="255" spans="1:20" x14ac:dyDescent="0.3">
      <c r="A255" t="s">
        <v>44</v>
      </c>
      <c r="B255" s="3">
        <v>47</v>
      </c>
      <c r="C255">
        <v>2008</v>
      </c>
      <c r="D255" s="2">
        <v>6100.4082049728941</v>
      </c>
      <c r="E255" s="2">
        <v>8311.7851891042646</v>
      </c>
      <c r="F255" s="11">
        <v>0.4618062643440527</v>
      </c>
      <c r="G255" s="5">
        <v>0.23079999999999998</v>
      </c>
      <c r="H255">
        <v>0.55500000000000005</v>
      </c>
      <c r="I255" s="4">
        <v>0.55900000000000005</v>
      </c>
      <c r="J255" s="3">
        <v>252452261360</v>
      </c>
      <c r="K255" s="3">
        <v>408080796016.625</v>
      </c>
      <c r="L255" s="3">
        <v>81365</v>
      </c>
      <c r="M255" s="3">
        <v>54288996000</v>
      </c>
      <c r="N255" s="3">
        <v>87756380486.649994</v>
      </c>
      <c r="O255" s="3">
        <v>1152422</v>
      </c>
      <c r="P255" s="10">
        <v>87.756380486649988</v>
      </c>
      <c r="Q255" s="10">
        <v>408.08079601662502</v>
      </c>
      <c r="R255" s="3">
        <f t="shared" si="9"/>
        <v>8311785189104.2646</v>
      </c>
      <c r="S255" s="2">
        <f t="shared" si="10"/>
        <v>1.0558066467079525</v>
      </c>
      <c r="T255" s="11">
        <f t="shared" si="11"/>
        <v>1.0558066467079526E-2</v>
      </c>
    </row>
    <row r="256" spans="1:20" x14ac:dyDescent="0.3">
      <c r="A256" t="s">
        <v>44</v>
      </c>
      <c r="B256" s="3">
        <v>47</v>
      </c>
      <c r="C256">
        <v>2009</v>
      </c>
      <c r="D256" s="2">
        <v>6856.8895621884658</v>
      </c>
      <c r="E256" s="2">
        <v>8833.2174060237267</v>
      </c>
      <c r="F256" s="11">
        <v>0.48909330770816761</v>
      </c>
      <c r="G256" s="5">
        <v>0.22010000000000002</v>
      </c>
      <c r="H256">
        <v>0.54400000000000004</v>
      </c>
      <c r="I256" s="4">
        <v>0.52700000000000002</v>
      </c>
      <c r="J256" s="3">
        <v>294030020558</v>
      </c>
      <c r="K256" s="3">
        <v>450521001453.41235</v>
      </c>
      <c r="L256" s="3">
        <v>124677</v>
      </c>
      <c r="M256" s="3">
        <v>69306690000</v>
      </c>
      <c r="N256" s="3">
        <v>106193644196.48424</v>
      </c>
      <c r="O256" s="3">
        <v>1170386</v>
      </c>
      <c r="P256" s="10">
        <v>106.19364419648424</v>
      </c>
      <c r="Q256" s="10">
        <v>450.52100145341234</v>
      </c>
      <c r="R256" s="3">
        <f t="shared" si="9"/>
        <v>8833217406023.7266</v>
      </c>
      <c r="S256" s="2">
        <f t="shared" si="10"/>
        <v>1.202207976043548</v>
      </c>
      <c r="T256" s="11">
        <f t="shared" si="11"/>
        <v>1.202207976043548E-2</v>
      </c>
    </row>
    <row r="257" spans="1:20" x14ac:dyDescent="0.3">
      <c r="A257" t="s">
        <v>44</v>
      </c>
      <c r="B257" s="3">
        <v>47</v>
      </c>
      <c r="C257">
        <v>2010</v>
      </c>
      <c r="D257" s="2">
        <v>7269.8269181751721</v>
      </c>
      <c r="E257" s="2">
        <v>9138.294165773621</v>
      </c>
      <c r="F257" s="11">
        <v>0.71450139191423445</v>
      </c>
      <c r="G257" s="5">
        <v>0.20489999999999997</v>
      </c>
      <c r="H257">
        <v>0.54700000000000004</v>
      </c>
      <c r="I257" s="4">
        <v>0.54400000000000004</v>
      </c>
      <c r="J257" s="3">
        <v>321824677107</v>
      </c>
      <c r="K257" s="3">
        <v>470300271301.43054</v>
      </c>
      <c r="L257" s="3">
        <v>119616</v>
      </c>
      <c r="M257" s="3">
        <v>81305515000</v>
      </c>
      <c r="N257" s="3">
        <v>118816263894.17361</v>
      </c>
      <c r="O257" s="3">
        <v>1188000</v>
      </c>
      <c r="P257" s="10">
        <v>118.81626389417362</v>
      </c>
      <c r="Q257" s="10">
        <v>470.30027130143054</v>
      </c>
      <c r="R257" s="3">
        <f t="shared" si="9"/>
        <v>9138294165773.6211</v>
      </c>
      <c r="S257" s="2">
        <f t="shared" si="10"/>
        <v>1.3002017853527368</v>
      </c>
      <c r="T257" s="11">
        <f t="shared" si="11"/>
        <v>1.3002017853527368E-2</v>
      </c>
    </row>
    <row r="258" spans="1:20" x14ac:dyDescent="0.3">
      <c r="A258" t="s">
        <v>44</v>
      </c>
      <c r="B258" s="3">
        <v>47</v>
      </c>
      <c r="C258">
        <v>2011</v>
      </c>
      <c r="D258" s="2">
        <v>7761.4317906312153</v>
      </c>
      <c r="E258" s="2">
        <v>9314.1802568539169</v>
      </c>
      <c r="F258" s="11">
        <v>0.64119468727278606</v>
      </c>
      <c r="G258" s="5">
        <v>0.26619999999999999</v>
      </c>
      <c r="H258">
        <v>0.53500000000000003</v>
      </c>
      <c r="I258" s="4">
        <v>0.53300000000000003</v>
      </c>
      <c r="J258" s="3">
        <v>336796895927</v>
      </c>
      <c r="K258" s="3">
        <v>471063372134.15613</v>
      </c>
      <c r="L258" s="3">
        <v>113107</v>
      </c>
      <c r="M258" s="3">
        <v>69310265000</v>
      </c>
      <c r="N258" s="3">
        <v>96941294736.542618</v>
      </c>
      <c r="O258" s="3">
        <v>1204977</v>
      </c>
      <c r="P258" s="10">
        <v>96.941294736542616</v>
      </c>
      <c r="Q258" s="10">
        <v>471.06337213415611</v>
      </c>
      <c r="R258" s="3">
        <f t="shared" si="9"/>
        <v>9314180256853.916</v>
      </c>
      <c r="S258" s="2">
        <f t="shared" si="10"/>
        <v>1.0407925556863424</v>
      </c>
      <c r="T258" s="11">
        <f t="shared" si="11"/>
        <v>1.0407925556863424E-2</v>
      </c>
    </row>
    <row r="259" spans="1:20" x14ac:dyDescent="0.3">
      <c r="A259" t="s">
        <v>44</v>
      </c>
      <c r="B259" s="3">
        <v>47</v>
      </c>
      <c r="C259">
        <v>2012</v>
      </c>
      <c r="D259" s="2">
        <v>8479.9799412046523</v>
      </c>
      <c r="E259" s="2">
        <v>9721.986945907347</v>
      </c>
      <c r="F259" s="11">
        <v>0.68919152689370267</v>
      </c>
      <c r="G259" s="5">
        <v>0.2893</v>
      </c>
      <c r="H259">
        <v>0.52700000000000002</v>
      </c>
      <c r="I259" s="4">
        <v>0.51</v>
      </c>
      <c r="J259" s="3">
        <v>341612992727</v>
      </c>
      <c r="K259" s="3">
        <v>452075339788.39563</v>
      </c>
      <c r="L259" s="3">
        <v>104453</v>
      </c>
      <c r="M259" s="3">
        <v>60020420000</v>
      </c>
      <c r="N259" s="3">
        <v>79428336578.012283</v>
      </c>
      <c r="O259" s="3">
        <v>1221419</v>
      </c>
      <c r="P259" s="10">
        <v>79.428336578012278</v>
      </c>
      <c r="Q259" s="10">
        <v>452.07533978839564</v>
      </c>
      <c r="R259" s="3">
        <f t="shared" ref="R259:R322" si="12">E259*1000000000</f>
        <v>9721986945907.3477</v>
      </c>
      <c r="S259" s="2">
        <f t="shared" ref="S259:S322" si="13">(N259/R259)*100</f>
        <v>0.81699694743417783</v>
      </c>
      <c r="T259" s="11">
        <f t="shared" ref="T259:T322" si="14">S259/100</f>
        <v>8.1699694743417785E-3</v>
      </c>
    </row>
    <row r="260" spans="1:20" x14ac:dyDescent="0.3">
      <c r="A260" t="s">
        <v>44</v>
      </c>
      <c r="B260" s="3">
        <v>47</v>
      </c>
      <c r="C260">
        <v>2013</v>
      </c>
      <c r="D260" s="2">
        <v>9319.1218851632457</v>
      </c>
      <c r="E260" s="2">
        <v>10238.749620585739</v>
      </c>
      <c r="F260" s="11">
        <v>0.74809953329985812</v>
      </c>
      <c r="G260" s="5">
        <v>0.3039</v>
      </c>
      <c r="H260">
        <v>0.52800000000000002</v>
      </c>
      <c r="I260" s="4">
        <v>0.496</v>
      </c>
      <c r="J260" s="3">
        <v>407692455395</v>
      </c>
      <c r="K260" s="3">
        <v>501054027680.45502</v>
      </c>
      <c r="L260" s="3">
        <v>128372</v>
      </c>
      <c r="M260" s="3">
        <v>96925290000</v>
      </c>
      <c r="N260" s="3">
        <v>119121181410.00002</v>
      </c>
      <c r="O260" s="3">
        <v>1237543</v>
      </c>
      <c r="P260" s="10">
        <v>119.12118141000002</v>
      </c>
      <c r="Q260" s="10">
        <v>501.05402768045502</v>
      </c>
      <c r="R260" s="3">
        <f t="shared" si="12"/>
        <v>10238749620585.738</v>
      </c>
      <c r="S260" s="2">
        <f t="shared" si="13"/>
        <v>1.1634348511706776</v>
      </c>
      <c r="T260" s="11">
        <f t="shared" si="14"/>
        <v>1.1634348511706775E-2</v>
      </c>
    </row>
    <row r="261" spans="1:20" x14ac:dyDescent="0.3">
      <c r="A261" t="s">
        <v>44</v>
      </c>
      <c r="B261" s="3">
        <v>47</v>
      </c>
      <c r="C261">
        <v>2014</v>
      </c>
      <c r="D261" s="2">
        <v>9549.7450688844528</v>
      </c>
      <c r="E261" s="2">
        <v>10128.23712088042</v>
      </c>
      <c r="F261" s="11">
        <v>0.69443731792022012</v>
      </c>
      <c r="G261" s="5">
        <v>0.29600000000000004</v>
      </c>
      <c r="H261">
        <v>0.52700000000000002</v>
      </c>
      <c r="I261" s="4">
        <v>0.48799999999999999</v>
      </c>
      <c r="J261" s="3">
        <v>431813385964</v>
      </c>
      <c r="K261" s="3">
        <v>520292795440.93726</v>
      </c>
      <c r="L261" s="3">
        <v>125859</v>
      </c>
      <c r="M261" s="3">
        <v>103545090400</v>
      </c>
      <c r="N261" s="3">
        <v>124761682452.54901</v>
      </c>
      <c r="O261" s="3">
        <v>1253211</v>
      </c>
      <c r="P261" s="10">
        <v>124.76168245254901</v>
      </c>
      <c r="Q261" s="10">
        <v>520.29279544093731</v>
      </c>
      <c r="R261" s="3">
        <f t="shared" si="12"/>
        <v>10128237120880.42</v>
      </c>
      <c r="S261" s="2">
        <f t="shared" si="13"/>
        <v>1.2318203154558827</v>
      </c>
      <c r="T261" s="11">
        <f t="shared" si="14"/>
        <v>1.2318203154558827E-2</v>
      </c>
    </row>
    <row r="262" spans="1:20" x14ac:dyDescent="0.3">
      <c r="A262" t="s">
        <v>44</v>
      </c>
      <c r="B262" s="3">
        <v>47</v>
      </c>
      <c r="C262">
        <v>2015</v>
      </c>
      <c r="D262" s="2">
        <v>10513.577450233041</v>
      </c>
      <c r="E262" s="2">
        <v>10513.577450233041</v>
      </c>
      <c r="F262" s="11">
        <v>0.70792565218308401</v>
      </c>
      <c r="G262" s="5">
        <v>0.31109999999999999</v>
      </c>
      <c r="H262">
        <v>0.51100000000000001</v>
      </c>
      <c r="I262" s="4">
        <v>0.47699999999999998</v>
      </c>
      <c r="J262" s="3">
        <v>430845908366</v>
      </c>
      <c r="K262" s="3">
        <v>503144832175.802</v>
      </c>
      <c r="L262" s="3">
        <v>122257</v>
      </c>
      <c r="M262" s="3">
        <v>101637204500</v>
      </c>
      <c r="N262" s="3">
        <v>118692630492.6834</v>
      </c>
      <c r="O262" s="3">
        <v>1268980</v>
      </c>
      <c r="P262" s="10">
        <v>118.69263049268339</v>
      </c>
      <c r="Q262" s="10">
        <v>503.14483217580198</v>
      </c>
      <c r="R262" s="3">
        <f t="shared" si="12"/>
        <v>10513577450233.041</v>
      </c>
      <c r="S262" s="2">
        <f t="shared" si="13"/>
        <v>1.1289461751199872</v>
      </c>
      <c r="T262" s="11">
        <f t="shared" si="14"/>
        <v>1.1289461751199872E-2</v>
      </c>
    </row>
    <row r="263" spans="1:20" x14ac:dyDescent="0.3">
      <c r="A263" t="s">
        <v>44</v>
      </c>
      <c r="B263" s="3">
        <v>47</v>
      </c>
      <c r="C263">
        <v>2016</v>
      </c>
      <c r="D263" s="2">
        <v>11691.731420937815</v>
      </c>
      <c r="E263" s="2">
        <v>10868.965741951495</v>
      </c>
      <c r="F263" s="11">
        <v>0.76910000000000001</v>
      </c>
      <c r="G263" s="5">
        <v>0.30260000000000004</v>
      </c>
      <c r="H263">
        <v>0.50800000000000001</v>
      </c>
      <c r="I263" s="4">
        <v>0.48599999999999999</v>
      </c>
      <c r="J263" s="3">
        <v>456563149542</v>
      </c>
      <c r="K263" s="3">
        <v>514030881996.26062</v>
      </c>
      <c r="L263" s="3">
        <v>121147</v>
      </c>
      <c r="M263" s="3">
        <v>105315193800</v>
      </c>
      <c r="N263" s="3">
        <v>118571246958.77612</v>
      </c>
      <c r="O263" s="3">
        <v>1287462</v>
      </c>
      <c r="P263" s="10">
        <v>118.57124695877613</v>
      </c>
      <c r="Q263" s="10">
        <v>514.03088199626063</v>
      </c>
      <c r="R263" s="3">
        <f t="shared" si="12"/>
        <v>10868965741951.496</v>
      </c>
      <c r="S263" s="2">
        <f t="shared" si="13"/>
        <v>1.0909156379168692</v>
      </c>
      <c r="T263" s="11">
        <f t="shared" si="14"/>
        <v>1.0909156379168693E-2</v>
      </c>
    </row>
    <row r="264" spans="1:20" x14ac:dyDescent="0.3">
      <c r="A264" t="s">
        <v>44</v>
      </c>
      <c r="B264" s="3">
        <v>47</v>
      </c>
      <c r="C264">
        <v>2017</v>
      </c>
      <c r="D264" s="2">
        <v>12422.281853603205</v>
      </c>
      <c r="E264" s="2">
        <v>10989.952584433297</v>
      </c>
      <c r="F264" s="11">
        <v>0.80428357999107181</v>
      </c>
      <c r="G264" s="5">
        <v>0.29870000000000002</v>
      </c>
      <c r="H264">
        <v>0.49700000000000005</v>
      </c>
      <c r="I264" s="4">
        <v>0.48499999999999999</v>
      </c>
      <c r="J264" s="3">
        <v>510647635135</v>
      </c>
      <c r="K264" s="3">
        <v>561246595940.7218</v>
      </c>
      <c r="L264" s="3">
        <v>124358</v>
      </c>
      <c r="M264" s="3">
        <v>101992299750</v>
      </c>
      <c r="N264" s="3">
        <v>112098494359.46164</v>
      </c>
      <c r="O264" s="3">
        <v>1309259</v>
      </c>
      <c r="P264" s="10">
        <v>112.09849435946164</v>
      </c>
      <c r="Q264" s="10">
        <v>561.24659594072182</v>
      </c>
      <c r="R264" s="3">
        <f t="shared" si="12"/>
        <v>10989952584433.297</v>
      </c>
      <c r="S264" s="2">
        <f t="shared" si="13"/>
        <v>1.0200088990214879</v>
      </c>
      <c r="T264" s="11">
        <f t="shared" si="14"/>
        <v>1.020008899021488E-2</v>
      </c>
    </row>
    <row r="265" spans="1:20" x14ac:dyDescent="0.3">
      <c r="A265" t="s">
        <v>44</v>
      </c>
      <c r="B265" s="3">
        <v>47</v>
      </c>
      <c r="C265">
        <v>2018</v>
      </c>
      <c r="D265" s="2">
        <v>13166.658122965819</v>
      </c>
      <c r="E265" s="2">
        <v>11254.976689091854</v>
      </c>
      <c r="F265" s="11">
        <v>0.70957142487023195</v>
      </c>
      <c r="G265" s="5">
        <v>0.26039999999999996</v>
      </c>
      <c r="H265">
        <v>0.504</v>
      </c>
      <c r="I265" s="4">
        <v>0.48699999999999999</v>
      </c>
      <c r="J265" s="3">
        <v>542879145001</v>
      </c>
      <c r="K265" s="3">
        <v>585364510621.36243</v>
      </c>
      <c r="L265" s="3">
        <v>120775</v>
      </c>
      <c r="M265" s="3">
        <v>99690455150</v>
      </c>
      <c r="N265" s="3">
        <v>107492164747.63115</v>
      </c>
      <c r="O265" s="3">
        <v>1341746</v>
      </c>
      <c r="P265" s="10">
        <v>107.49216474763115</v>
      </c>
      <c r="Q265" s="10">
        <v>585.36451062136246</v>
      </c>
      <c r="R265" s="3">
        <f t="shared" si="12"/>
        <v>11254976689091.855</v>
      </c>
      <c r="S265" s="2">
        <f t="shared" si="13"/>
        <v>0.95506341520734417</v>
      </c>
      <c r="T265" s="11">
        <f t="shared" si="14"/>
        <v>9.5506341520734412E-3</v>
      </c>
    </row>
    <row r="266" spans="1:20" x14ac:dyDescent="0.3">
      <c r="A266" t="s">
        <v>45</v>
      </c>
      <c r="B266" s="3">
        <v>50</v>
      </c>
      <c r="C266">
        <v>2008</v>
      </c>
      <c r="D266" s="2">
        <v>15252.705843601185</v>
      </c>
      <c r="E266" s="2">
        <v>13989.92067738134</v>
      </c>
      <c r="F266" s="11">
        <v>0.72259744757382594</v>
      </c>
      <c r="G266" s="5">
        <v>0.2767</v>
      </c>
      <c r="H266">
        <v>0.55500000000000005</v>
      </c>
      <c r="I266" s="4">
        <v>0.499</v>
      </c>
      <c r="J266" s="3">
        <v>142246374179</v>
      </c>
      <c r="K266" s="3">
        <v>229936595904.23648</v>
      </c>
      <c r="L266" s="3">
        <v>31507</v>
      </c>
      <c r="M266" s="3">
        <v>17614264000</v>
      </c>
      <c r="N266" s="3">
        <v>28472879726.423779</v>
      </c>
      <c r="O266" s="3">
        <v>856385</v>
      </c>
      <c r="P266" s="10">
        <v>28.472879726423777</v>
      </c>
      <c r="Q266" s="10">
        <v>229.93659590423647</v>
      </c>
      <c r="R266" s="3">
        <f t="shared" si="12"/>
        <v>13989920677381.34</v>
      </c>
      <c r="S266" s="2">
        <f t="shared" si="13"/>
        <v>0.20352423993695856</v>
      </c>
      <c r="T266" s="11">
        <f t="shared" si="14"/>
        <v>2.0352423993695856E-3</v>
      </c>
    </row>
    <row r="267" spans="1:20" x14ac:dyDescent="0.3">
      <c r="A267" t="s">
        <v>45</v>
      </c>
      <c r="B267" s="3">
        <v>50</v>
      </c>
      <c r="C267">
        <v>2009</v>
      </c>
      <c r="D267" s="2">
        <v>16835.923830592714</v>
      </c>
      <c r="E267" s="2">
        <v>16992.009863654894</v>
      </c>
      <c r="F267" s="11">
        <v>0.5705176202283414</v>
      </c>
      <c r="G267" s="5">
        <v>0.25629999999999997</v>
      </c>
      <c r="H267">
        <v>0.54400000000000004</v>
      </c>
      <c r="I267" s="4">
        <v>0.49299999999999999</v>
      </c>
      <c r="J267" s="3">
        <v>155263775748</v>
      </c>
      <c r="K267" s="3">
        <v>237899489333.36493</v>
      </c>
      <c r="L267" s="3">
        <v>51356</v>
      </c>
      <c r="M267" s="3">
        <v>28957171000</v>
      </c>
      <c r="N267" s="3">
        <v>44368985362.174294</v>
      </c>
      <c r="O267" s="3">
        <v>876363</v>
      </c>
      <c r="P267" s="10">
        <v>44.368985362174293</v>
      </c>
      <c r="Q267" s="10">
        <v>237.89948933336493</v>
      </c>
      <c r="R267" s="3">
        <f t="shared" si="12"/>
        <v>16992009863654.895</v>
      </c>
      <c r="S267" s="2">
        <f t="shared" si="13"/>
        <v>0.26111675851293759</v>
      </c>
      <c r="T267" s="11">
        <f t="shared" si="14"/>
        <v>2.6111675851293757E-3</v>
      </c>
    </row>
    <row r="268" spans="1:20" x14ac:dyDescent="0.3">
      <c r="A268" t="s">
        <v>45</v>
      </c>
      <c r="B268" s="3">
        <v>50</v>
      </c>
      <c r="C268">
        <v>2010</v>
      </c>
      <c r="D268" s="2">
        <v>23608.04394670394</v>
      </c>
      <c r="E268" s="2">
        <v>21269.755617411487</v>
      </c>
      <c r="F268" s="11">
        <v>0.75561800461855089</v>
      </c>
      <c r="G268" s="5">
        <v>0.24429999999999999</v>
      </c>
      <c r="H268">
        <v>0.54700000000000004</v>
      </c>
      <c r="I268" s="4">
        <v>0.502</v>
      </c>
      <c r="J268" s="3">
        <v>173770333884</v>
      </c>
      <c r="K268" s="3">
        <v>253940238220.49469</v>
      </c>
      <c r="L268" s="3">
        <v>49266</v>
      </c>
      <c r="M268" s="3">
        <v>33415426000</v>
      </c>
      <c r="N268" s="3">
        <v>48831817543.400719</v>
      </c>
      <c r="O268" s="3">
        <v>896034</v>
      </c>
      <c r="P268" s="10">
        <v>48.831817543400717</v>
      </c>
      <c r="Q268" s="10">
        <v>253.94023822049468</v>
      </c>
      <c r="R268" s="3">
        <f t="shared" si="12"/>
        <v>21269755617411.488</v>
      </c>
      <c r="S268" s="2">
        <f t="shared" si="13"/>
        <v>0.22958335028272184</v>
      </c>
      <c r="T268" s="11">
        <f t="shared" si="14"/>
        <v>2.2958335028272184E-3</v>
      </c>
    </row>
    <row r="269" spans="1:20" x14ac:dyDescent="0.3">
      <c r="A269" t="s">
        <v>45</v>
      </c>
      <c r="B269" s="3">
        <v>50</v>
      </c>
      <c r="C269">
        <v>2011</v>
      </c>
      <c r="D269" s="2">
        <v>35741.19513772885</v>
      </c>
      <c r="E269" s="2">
        <v>25834.358858363747</v>
      </c>
      <c r="F269" s="11">
        <v>0.71965957158807725</v>
      </c>
      <c r="G269" s="5">
        <v>0.28470000000000001</v>
      </c>
      <c r="H269">
        <v>0.53500000000000003</v>
      </c>
      <c r="I269" s="4">
        <v>0.49199999999999999</v>
      </c>
      <c r="J269" s="3">
        <v>179580601674</v>
      </c>
      <c r="K269" s="3">
        <v>251171684826.84192</v>
      </c>
      <c r="L269" s="3">
        <v>45206</v>
      </c>
      <c r="M269" s="3">
        <v>26641825000</v>
      </c>
      <c r="N269" s="3">
        <v>37262777882.098557</v>
      </c>
      <c r="O269" s="3">
        <v>915277</v>
      </c>
      <c r="P269" s="10">
        <v>37.262777882098554</v>
      </c>
      <c r="Q269" s="10">
        <v>251.17168482684193</v>
      </c>
      <c r="R269" s="3">
        <f t="shared" si="12"/>
        <v>25834358858363.746</v>
      </c>
      <c r="S269" s="2">
        <f t="shared" si="13"/>
        <v>0.14423728526181295</v>
      </c>
      <c r="T269" s="11">
        <f t="shared" si="14"/>
        <v>1.4423728526181295E-3</v>
      </c>
    </row>
    <row r="270" spans="1:20" x14ac:dyDescent="0.3">
      <c r="A270" t="s">
        <v>45</v>
      </c>
      <c r="B270" s="3">
        <v>50</v>
      </c>
      <c r="C270">
        <v>2012</v>
      </c>
      <c r="D270" s="2">
        <v>39465.576851816608</v>
      </c>
      <c r="E270" s="2">
        <v>27810.635095034362</v>
      </c>
      <c r="F270" s="11">
        <v>0.77142204239878509</v>
      </c>
      <c r="G270" s="5">
        <v>0.30299999999999999</v>
      </c>
      <c r="H270">
        <v>0.52700000000000002</v>
      </c>
      <c r="I270" s="4">
        <v>0.505</v>
      </c>
      <c r="J270" s="3">
        <v>193843507058</v>
      </c>
      <c r="K270" s="3">
        <v>256523818428.21362</v>
      </c>
      <c r="L270" s="3">
        <v>39581</v>
      </c>
      <c r="M270" s="3">
        <v>22404285000</v>
      </c>
      <c r="N270" s="3">
        <v>29648827678.475288</v>
      </c>
      <c r="O270" s="3">
        <v>933966</v>
      </c>
      <c r="P270" s="10">
        <v>29.648827678475289</v>
      </c>
      <c r="Q270" s="10">
        <v>256.52381842821364</v>
      </c>
      <c r="R270" s="3">
        <f t="shared" si="12"/>
        <v>27810635095034.363</v>
      </c>
      <c r="S270" s="2">
        <f t="shared" si="13"/>
        <v>0.10660967495765365</v>
      </c>
      <c r="T270" s="11">
        <f t="shared" si="14"/>
        <v>1.0660967495765366E-3</v>
      </c>
    </row>
    <row r="271" spans="1:20" x14ac:dyDescent="0.3">
      <c r="A271" t="s">
        <v>45</v>
      </c>
      <c r="B271" s="3">
        <v>50</v>
      </c>
      <c r="C271">
        <v>2013</v>
      </c>
      <c r="D271" s="2">
        <v>42213.628374188527</v>
      </c>
      <c r="E271" s="2">
        <v>30819.333900828551</v>
      </c>
      <c r="F271" s="11">
        <v>0.73398820573664636</v>
      </c>
      <c r="G271" s="5">
        <v>0.33630000000000004</v>
      </c>
      <c r="H271">
        <v>0.52800000000000002</v>
      </c>
      <c r="I271" s="4">
        <v>0.47</v>
      </c>
      <c r="J271" s="3">
        <v>208589267040</v>
      </c>
      <c r="K271" s="3">
        <v>256356209192.16003</v>
      </c>
      <c r="L271" s="3">
        <v>59803</v>
      </c>
      <c r="M271" s="3">
        <v>41612230000</v>
      </c>
      <c r="N271" s="3">
        <v>51141430670.000008</v>
      </c>
      <c r="O271" s="3">
        <v>952101</v>
      </c>
      <c r="P271" s="10">
        <v>51.141430670000005</v>
      </c>
      <c r="Q271" s="10">
        <v>256.35620919216001</v>
      </c>
      <c r="R271" s="3">
        <f t="shared" si="12"/>
        <v>30819333900828.551</v>
      </c>
      <c r="S271" s="2">
        <f t="shared" si="13"/>
        <v>0.16593944189243207</v>
      </c>
      <c r="T271" s="11">
        <f t="shared" si="14"/>
        <v>1.6593944189243206E-3</v>
      </c>
    </row>
    <row r="272" spans="1:20" x14ac:dyDescent="0.3">
      <c r="A272" t="s">
        <v>45</v>
      </c>
      <c r="B272" s="3">
        <v>50</v>
      </c>
      <c r="C272">
        <v>2014</v>
      </c>
      <c r="D272" s="2">
        <v>37363.532196768901</v>
      </c>
      <c r="E272" s="2">
        <v>29878.124081089773</v>
      </c>
      <c r="F272" s="11">
        <v>0.75102548281706405</v>
      </c>
      <c r="G272" s="5">
        <v>0.34009999999999996</v>
      </c>
      <c r="H272">
        <v>0.52700000000000002</v>
      </c>
      <c r="I272" s="4">
        <v>0.47199999999999998</v>
      </c>
      <c r="J272" s="3">
        <v>222402021276</v>
      </c>
      <c r="K272" s="3">
        <v>267972631517.84705</v>
      </c>
      <c r="L272" s="3">
        <v>61777</v>
      </c>
      <c r="M272" s="3">
        <v>46304404400</v>
      </c>
      <c r="N272" s="3">
        <v>55792267654.509804</v>
      </c>
      <c r="O272" s="3">
        <v>969808</v>
      </c>
      <c r="P272" s="10">
        <v>55.792267654509807</v>
      </c>
      <c r="Q272" s="10">
        <v>267.97263151784705</v>
      </c>
      <c r="R272" s="3">
        <f t="shared" si="12"/>
        <v>29878124081089.773</v>
      </c>
      <c r="S272" s="2">
        <f t="shared" si="13"/>
        <v>0.18673283337028981</v>
      </c>
      <c r="T272" s="11">
        <f t="shared" si="14"/>
        <v>1.8673283337028981E-3</v>
      </c>
    </row>
    <row r="273" spans="1:20" x14ac:dyDescent="0.3">
      <c r="A273" t="s">
        <v>45</v>
      </c>
      <c r="B273" s="3">
        <v>50</v>
      </c>
      <c r="C273">
        <v>2015</v>
      </c>
      <c r="D273" s="2">
        <v>30712.162600333504</v>
      </c>
      <c r="E273" s="2">
        <v>30712.162600333504</v>
      </c>
      <c r="F273" s="11">
        <v>0.75723612329154799</v>
      </c>
      <c r="G273" s="5">
        <v>0.35899999999999999</v>
      </c>
      <c r="H273">
        <v>0.51100000000000001</v>
      </c>
      <c r="I273" s="4">
        <v>0.47</v>
      </c>
      <c r="J273" s="3">
        <v>211090177095</v>
      </c>
      <c r="K273" s="3">
        <v>246512569032.45441</v>
      </c>
      <c r="L273" s="3">
        <v>61755</v>
      </c>
      <c r="M273" s="3">
        <v>47034434200</v>
      </c>
      <c r="N273" s="3">
        <v>54927137620.486511</v>
      </c>
      <c r="O273" s="3">
        <v>987232</v>
      </c>
      <c r="P273" s="10">
        <v>54.927137620486512</v>
      </c>
      <c r="Q273" s="10">
        <v>246.51256903245439</v>
      </c>
      <c r="R273" s="3">
        <f t="shared" si="12"/>
        <v>30712162600333.504</v>
      </c>
      <c r="S273" s="2">
        <f t="shared" si="13"/>
        <v>0.17884490367959324</v>
      </c>
      <c r="T273" s="11">
        <f t="shared" si="14"/>
        <v>1.7884490367959325E-3</v>
      </c>
    </row>
    <row r="274" spans="1:20" x14ac:dyDescent="0.3">
      <c r="A274" t="s">
        <v>45</v>
      </c>
      <c r="B274" s="3">
        <v>50</v>
      </c>
      <c r="C274">
        <v>2016</v>
      </c>
      <c r="D274" s="2">
        <v>26335.376083135779</v>
      </c>
      <c r="E274" s="2">
        <v>28904.315256348724</v>
      </c>
      <c r="F274" s="11">
        <v>0.77310000000000001</v>
      </c>
      <c r="G274" s="5">
        <v>0.37380000000000002</v>
      </c>
      <c r="H274">
        <v>0.50800000000000001</v>
      </c>
      <c r="I274" s="4">
        <v>0.46400000000000002</v>
      </c>
      <c r="J274" s="3">
        <v>227650086051</v>
      </c>
      <c r="K274" s="3">
        <v>256304466614.76645</v>
      </c>
      <c r="L274" s="3">
        <v>61411</v>
      </c>
      <c r="M274" s="3">
        <v>47912009500</v>
      </c>
      <c r="N274" s="3">
        <v>53942707654.36058</v>
      </c>
      <c r="O274" s="3">
        <v>1004633</v>
      </c>
      <c r="P274" s="10">
        <v>53.942707654360582</v>
      </c>
      <c r="Q274" s="10">
        <v>256.30446661476645</v>
      </c>
      <c r="R274" s="3">
        <f t="shared" si="12"/>
        <v>28904315256348.723</v>
      </c>
      <c r="S274" s="2">
        <f t="shared" si="13"/>
        <v>0.18662510139385594</v>
      </c>
      <c r="T274" s="11">
        <f t="shared" si="14"/>
        <v>1.8662510139385593E-3</v>
      </c>
    </row>
    <row r="275" spans="1:20" x14ac:dyDescent="0.3">
      <c r="A275" t="s">
        <v>45</v>
      </c>
      <c r="B275" s="3">
        <v>50</v>
      </c>
      <c r="C275">
        <v>2017</v>
      </c>
      <c r="D275" s="2">
        <v>30238.586286834761</v>
      </c>
      <c r="E275" s="2">
        <v>29021.899838421592</v>
      </c>
      <c r="F275" s="11">
        <v>0.76735741472430663</v>
      </c>
      <c r="G275" s="5">
        <v>0.34619999999999995</v>
      </c>
      <c r="H275">
        <v>0.49700000000000005</v>
      </c>
      <c r="I275" s="4">
        <v>0.47299999999999998</v>
      </c>
      <c r="J275" s="3">
        <v>248449212293</v>
      </c>
      <c r="K275" s="3">
        <v>273067503047.8421</v>
      </c>
      <c r="L275" s="3">
        <v>62818</v>
      </c>
      <c r="M275" s="3">
        <v>45561120400</v>
      </c>
      <c r="N275" s="3">
        <v>50075672483.992134</v>
      </c>
      <c r="O275" s="3">
        <v>1021943</v>
      </c>
      <c r="P275" s="10">
        <v>50.075672483992136</v>
      </c>
      <c r="Q275" s="10">
        <v>273.06750304784208</v>
      </c>
      <c r="R275" s="3">
        <f t="shared" si="12"/>
        <v>29021899838421.594</v>
      </c>
      <c r="S275" s="2">
        <f t="shared" si="13"/>
        <v>0.17254443286892546</v>
      </c>
      <c r="T275" s="11">
        <f t="shared" si="14"/>
        <v>1.7254443286892547E-3</v>
      </c>
    </row>
    <row r="276" spans="1:20" x14ac:dyDescent="0.3">
      <c r="A276" t="s">
        <v>45</v>
      </c>
      <c r="B276" s="3">
        <v>50</v>
      </c>
      <c r="C276">
        <v>2018</v>
      </c>
      <c r="D276" s="2">
        <v>35816.89814940052</v>
      </c>
      <c r="E276" s="2">
        <v>29544.536029833187</v>
      </c>
      <c r="F276" s="11">
        <v>0.78210799829170341</v>
      </c>
      <c r="G276" s="5">
        <v>0.33520000000000005</v>
      </c>
      <c r="H276">
        <v>0.504</v>
      </c>
      <c r="I276" s="4">
        <v>0.49399999999999999</v>
      </c>
      <c r="J276" s="3">
        <v>263130702195</v>
      </c>
      <c r="K276" s="3">
        <v>283723138267.81451</v>
      </c>
      <c r="L276" s="3">
        <v>60693</v>
      </c>
      <c r="M276" s="3">
        <v>43754556150</v>
      </c>
      <c r="N276" s="3">
        <v>47178759000.131599</v>
      </c>
      <c r="O276" s="3">
        <v>1039722</v>
      </c>
      <c r="P276" s="10">
        <v>47.178759000131599</v>
      </c>
      <c r="Q276" s="10">
        <v>283.72313826781453</v>
      </c>
      <c r="R276" s="3">
        <f t="shared" si="12"/>
        <v>29544536029833.188</v>
      </c>
      <c r="S276" s="2">
        <f t="shared" si="13"/>
        <v>0.15968691792110698</v>
      </c>
      <c r="T276" s="11">
        <f t="shared" si="14"/>
        <v>1.5968691792110697E-3</v>
      </c>
    </row>
    <row r="277" spans="1:20" x14ac:dyDescent="0.3">
      <c r="A277" t="s">
        <v>20</v>
      </c>
      <c r="B277" s="3">
        <v>54</v>
      </c>
      <c r="C277">
        <v>2008</v>
      </c>
      <c r="D277" s="2">
        <v>7712.4210291478794</v>
      </c>
      <c r="E277" s="2">
        <v>10288.028484541102</v>
      </c>
      <c r="F277" s="11">
        <v>0.6823460760811827</v>
      </c>
      <c r="G277" s="5">
        <v>0.40009999999999996</v>
      </c>
      <c r="H277">
        <v>0.55500000000000005</v>
      </c>
      <c r="I277" s="4">
        <v>0.502</v>
      </c>
      <c r="J277" s="3">
        <v>268093892917</v>
      </c>
      <c r="K277" s="3">
        <v>433364980132.83307</v>
      </c>
      <c r="L277" s="3">
        <v>55179</v>
      </c>
      <c r="M277" s="3">
        <v>34022691000</v>
      </c>
      <c r="N277" s="3">
        <v>54996563513.086937</v>
      </c>
      <c r="O277" s="3">
        <v>1339682</v>
      </c>
      <c r="P277" s="10">
        <v>54.99656351308694</v>
      </c>
      <c r="Q277" s="10">
        <v>433.36498013283307</v>
      </c>
      <c r="R277" s="3">
        <f t="shared" si="12"/>
        <v>10288028484541.102</v>
      </c>
      <c r="S277" s="2">
        <f t="shared" si="13"/>
        <v>0.53456853852733155</v>
      </c>
      <c r="T277" s="11">
        <f t="shared" si="14"/>
        <v>5.3456853852733152E-3</v>
      </c>
    </row>
    <row r="278" spans="1:20" x14ac:dyDescent="0.3">
      <c r="A278" t="s">
        <v>20</v>
      </c>
      <c r="B278" s="3">
        <v>54</v>
      </c>
      <c r="C278">
        <v>2009</v>
      </c>
      <c r="D278" s="2">
        <v>8301.8655398473529</v>
      </c>
      <c r="E278" s="2">
        <v>10587.107645698461</v>
      </c>
      <c r="F278" s="11">
        <v>0.62102862995403108</v>
      </c>
      <c r="G278" s="5">
        <v>0.38979999999999998</v>
      </c>
      <c r="H278">
        <v>0.54400000000000004</v>
      </c>
      <c r="I278" s="4">
        <v>0.52200000000000002</v>
      </c>
      <c r="J278" s="3">
        <v>286161120643</v>
      </c>
      <c r="K278" s="3">
        <v>438464053447.50909</v>
      </c>
      <c r="L278" s="3">
        <v>90490</v>
      </c>
      <c r="M278" s="3">
        <v>53996420000</v>
      </c>
      <c r="N278" s="3">
        <v>82734821319.037537</v>
      </c>
      <c r="O278" s="3">
        <v>1352231</v>
      </c>
      <c r="P278" s="10">
        <v>82.734821319037536</v>
      </c>
      <c r="Q278" s="10">
        <v>438.46405344750912</v>
      </c>
      <c r="R278" s="3">
        <f t="shared" si="12"/>
        <v>10587107645698.461</v>
      </c>
      <c r="S278" s="2">
        <f t="shared" si="13"/>
        <v>0.78146764997381202</v>
      </c>
      <c r="T278" s="11">
        <f t="shared" si="14"/>
        <v>7.8146764997381202E-3</v>
      </c>
    </row>
    <row r="279" spans="1:20" x14ac:dyDescent="0.3">
      <c r="A279" t="s">
        <v>20</v>
      </c>
      <c r="B279" s="3">
        <v>54</v>
      </c>
      <c r="C279">
        <v>2010</v>
      </c>
      <c r="D279" s="2">
        <v>8697.7384867311121</v>
      </c>
      <c r="E279" s="2">
        <v>10706.444650889329</v>
      </c>
      <c r="F279" s="11">
        <v>0.75401505444077355</v>
      </c>
      <c r="G279" s="5">
        <v>0.4269</v>
      </c>
      <c r="H279">
        <v>0.54700000000000004</v>
      </c>
      <c r="I279" s="4">
        <v>0.49299999999999999</v>
      </c>
      <c r="J279" s="3">
        <v>315058054575</v>
      </c>
      <c r="K279" s="3">
        <v>460411830050.74323</v>
      </c>
      <c r="L279" s="3">
        <v>83932</v>
      </c>
      <c r="M279" s="3">
        <v>55489565000</v>
      </c>
      <c r="N279" s="3">
        <v>81089982621.878723</v>
      </c>
      <c r="O279" s="3">
        <v>1363889</v>
      </c>
      <c r="P279" s="10">
        <v>81.089982621878718</v>
      </c>
      <c r="Q279" s="10">
        <v>460.41183005074322</v>
      </c>
      <c r="R279" s="3">
        <f t="shared" si="12"/>
        <v>10706444650889.328</v>
      </c>
      <c r="S279" s="2">
        <f t="shared" si="13"/>
        <v>0.75739412350245516</v>
      </c>
      <c r="T279" s="11">
        <f t="shared" si="14"/>
        <v>7.5739412350245517E-3</v>
      </c>
    </row>
    <row r="280" spans="1:20" x14ac:dyDescent="0.3">
      <c r="A280" t="s">
        <v>20</v>
      </c>
      <c r="B280" s="3">
        <v>54</v>
      </c>
      <c r="C280">
        <v>2011</v>
      </c>
      <c r="D280" s="2">
        <v>9408.1322585004746</v>
      </c>
      <c r="E280" s="2">
        <v>10946.591957631446</v>
      </c>
      <c r="F280" s="11">
        <v>0.73548356209668186</v>
      </c>
      <c r="G280" s="5">
        <v>0.46329999999999999</v>
      </c>
      <c r="H280">
        <v>0.53500000000000003</v>
      </c>
      <c r="I280" s="4">
        <v>0.498</v>
      </c>
      <c r="J280" s="3">
        <v>331759386481</v>
      </c>
      <c r="K280" s="3">
        <v>464017623745.47516</v>
      </c>
      <c r="L280" s="3">
        <v>78060</v>
      </c>
      <c r="M280" s="3">
        <v>44817010000</v>
      </c>
      <c r="N280" s="3">
        <v>62683629555.024467</v>
      </c>
      <c r="O280" s="3">
        <v>1374254</v>
      </c>
      <c r="P280" s="10">
        <v>62.683629555024467</v>
      </c>
      <c r="Q280" s="10">
        <v>464.01762374547513</v>
      </c>
      <c r="R280" s="3">
        <f t="shared" si="12"/>
        <v>10946591957631.447</v>
      </c>
      <c r="S280" s="2">
        <f t="shared" si="13"/>
        <v>0.57263146189827974</v>
      </c>
      <c r="T280" s="11">
        <f t="shared" si="14"/>
        <v>5.726314618982797E-3</v>
      </c>
    </row>
    <row r="281" spans="1:20" x14ac:dyDescent="0.3">
      <c r="A281" t="s">
        <v>20</v>
      </c>
      <c r="B281" s="3">
        <v>54</v>
      </c>
      <c r="C281">
        <v>2012</v>
      </c>
      <c r="D281" s="2">
        <v>9896.6996121912016</v>
      </c>
      <c r="E281" s="2">
        <v>11117.494335435653</v>
      </c>
      <c r="F281" s="11">
        <v>0.72203423231826647</v>
      </c>
      <c r="G281" s="5">
        <v>0.41930000000000001</v>
      </c>
      <c r="H281">
        <v>0.52700000000000002</v>
      </c>
      <c r="I281" s="4">
        <v>0.48499999999999999</v>
      </c>
      <c r="J281" s="3">
        <v>352834792508</v>
      </c>
      <c r="K281" s="3">
        <v>466925767193.2077</v>
      </c>
      <c r="L281" s="3">
        <v>67562</v>
      </c>
      <c r="M281" s="3">
        <v>35998970000</v>
      </c>
      <c r="N281" s="3">
        <v>47639425142.672554</v>
      </c>
      <c r="O281" s="3">
        <v>1383705</v>
      </c>
      <c r="P281" s="10">
        <v>47.639425142672557</v>
      </c>
      <c r="Q281" s="10">
        <v>466.92576719320772</v>
      </c>
      <c r="R281" s="3">
        <f t="shared" si="12"/>
        <v>11117494335435.652</v>
      </c>
      <c r="S281" s="2">
        <f t="shared" si="13"/>
        <v>0.42850865226733437</v>
      </c>
      <c r="T281" s="11">
        <f t="shared" si="14"/>
        <v>4.2850865226733434E-3</v>
      </c>
    </row>
    <row r="282" spans="1:20" x14ac:dyDescent="0.3">
      <c r="A282" t="s">
        <v>20</v>
      </c>
      <c r="B282" s="3">
        <v>54</v>
      </c>
      <c r="C282">
        <v>2013</v>
      </c>
      <c r="D282" s="2">
        <v>10747.053225445259</v>
      </c>
      <c r="E282" s="2">
        <v>11696.499805065418</v>
      </c>
      <c r="F282" s="11">
        <v>0.67698718951792358</v>
      </c>
      <c r="G282" s="5">
        <v>0.4556</v>
      </c>
      <c r="H282">
        <v>0.52800000000000002</v>
      </c>
      <c r="I282" s="4">
        <v>0.48</v>
      </c>
      <c r="J282" s="3">
        <v>380164386059</v>
      </c>
      <c r="K282" s="3">
        <v>467222030466.51105</v>
      </c>
      <c r="L282" s="3">
        <v>103081</v>
      </c>
      <c r="M282" s="3">
        <v>67662270000</v>
      </c>
      <c r="N282" s="3">
        <v>83156929830</v>
      </c>
      <c r="O282" s="3">
        <v>1392708</v>
      </c>
      <c r="P282" s="10">
        <v>83.156929829999996</v>
      </c>
      <c r="Q282" s="10">
        <v>467.22203046651106</v>
      </c>
      <c r="R282" s="3">
        <f t="shared" si="12"/>
        <v>11696499805065.418</v>
      </c>
      <c r="S282" s="2">
        <f t="shared" si="13"/>
        <v>0.71095568089512662</v>
      </c>
      <c r="T282" s="11">
        <f t="shared" si="14"/>
        <v>7.1095568089512666E-3</v>
      </c>
    </row>
    <row r="283" spans="1:20" x14ac:dyDescent="0.3">
      <c r="A283" t="s">
        <v>20</v>
      </c>
      <c r="B283" s="3">
        <v>54</v>
      </c>
      <c r="C283">
        <v>2014</v>
      </c>
      <c r="D283" s="2">
        <v>11642.742330881032</v>
      </c>
      <c r="E283" s="2">
        <v>12253.405829289468</v>
      </c>
      <c r="F283" s="11">
        <v>0.73671807129032818</v>
      </c>
      <c r="G283" s="5">
        <v>0.47740000000000005</v>
      </c>
      <c r="H283">
        <v>0.52700000000000002</v>
      </c>
      <c r="I283" s="4">
        <v>0.48699999999999999</v>
      </c>
      <c r="J283" s="3">
        <v>391991633690</v>
      </c>
      <c r="K283" s="3">
        <v>472311488044.12744</v>
      </c>
      <c r="L283" s="3">
        <v>103627</v>
      </c>
      <c r="M283" s="3">
        <v>74882650400</v>
      </c>
      <c r="N283" s="3">
        <v>90226252295.686264</v>
      </c>
      <c r="O283" s="3">
        <v>1401015</v>
      </c>
      <c r="P283" s="10">
        <v>90.226252295686265</v>
      </c>
      <c r="Q283" s="10">
        <v>472.31148804412743</v>
      </c>
      <c r="R283" s="3">
        <f t="shared" si="12"/>
        <v>12253405829289.469</v>
      </c>
      <c r="S283" s="2">
        <f t="shared" si="13"/>
        <v>0.73633611383389697</v>
      </c>
      <c r="T283" s="11">
        <f t="shared" si="14"/>
        <v>7.3633611383389693E-3</v>
      </c>
    </row>
    <row r="284" spans="1:20" x14ac:dyDescent="0.3">
      <c r="A284" t="s">
        <v>20</v>
      </c>
      <c r="B284" s="3">
        <v>54</v>
      </c>
      <c r="C284">
        <v>2015</v>
      </c>
      <c r="D284" s="2">
        <v>12534.024866470347</v>
      </c>
      <c r="E284" s="2">
        <v>12534.024866470347</v>
      </c>
      <c r="F284" s="11">
        <v>0.75093166597729011</v>
      </c>
      <c r="G284" s="5">
        <v>0.49829999999999997</v>
      </c>
      <c r="H284">
        <v>0.51100000000000001</v>
      </c>
      <c r="I284" s="4">
        <v>0.47299999999999998</v>
      </c>
      <c r="J284" s="3">
        <v>371184307312</v>
      </c>
      <c r="K284" s="3">
        <v>433471601754.5116</v>
      </c>
      <c r="L284" s="3">
        <v>99377</v>
      </c>
      <c r="M284" s="3">
        <v>73411859700</v>
      </c>
      <c r="N284" s="3">
        <v>85730877585.803879</v>
      </c>
      <c r="O284" s="3">
        <v>1409900</v>
      </c>
      <c r="P284" s="10">
        <v>85.730877585803881</v>
      </c>
      <c r="Q284" s="10">
        <v>433.4716017545116</v>
      </c>
      <c r="R284" s="3">
        <f t="shared" si="12"/>
        <v>12534024866470.348</v>
      </c>
      <c r="S284" s="2">
        <f t="shared" si="13"/>
        <v>0.68398522022356711</v>
      </c>
      <c r="T284" s="11">
        <f t="shared" si="14"/>
        <v>6.8398522022356713E-3</v>
      </c>
    </row>
    <row r="285" spans="1:20" x14ac:dyDescent="0.3">
      <c r="A285" t="s">
        <v>20</v>
      </c>
      <c r="B285" s="3">
        <v>54</v>
      </c>
      <c r="C285">
        <v>2016</v>
      </c>
      <c r="D285" s="2">
        <v>13810.526031951034</v>
      </c>
      <c r="E285" s="2">
        <v>13041.233784068678</v>
      </c>
      <c r="F285" s="11">
        <v>0.75139999999999996</v>
      </c>
      <c r="G285" s="5">
        <v>0.51580000000000004</v>
      </c>
      <c r="H285">
        <v>0.50800000000000001</v>
      </c>
      <c r="I285" s="4">
        <v>0.46700000000000003</v>
      </c>
      <c r="J285" s="3">
        <v>406349242631</v>
      </c>
      <c r="K285" s="3">
        <v>457496536454.28644</v>
      </c>
      <c r="L285" s="3">
        <v>96944</v>
      </c>
      <c r="M285" s="3">
        <v>74676894400</v>
      </c>
      <c r="N285" s="3">
        <v>84076496168.559921</v>
      </c>
      <c r="O285" s="3">
        <v>1424761</v>
      </c>
      <c r="P285" s="10">
        <v>84.076496168559927</v>
      </c>
      <c r="Q285" s="10">
        <v>457.49653645428646</v>
      </c>
      <c r="R285" s="3">
        <f t="shared" si="12"/>
        <v>13041233784068.678</v>
      </c>
      <c r="S285" s="2">
        <f t="shared" si="13"/>
        <v>0.64469740793442976</v>
      </c>
      <c r="T285" s="11">
        <f t="shared" si="14"/>
        <v>6.4469740793442979E-3</v>
      </c>
    </row>
    <row r="286" spans="1:20" x14ac:dyDescent="0.3">
      <c r="A286" t="s">
        <v>20</v>
      </c>
      <c r="B286" s="3">
        <v>54</v>
      </c>
      <c r="C286">
        <v>2017</v>
      </c>
      <c r="D286" s="2">
        <v>14445.495559430157</v>
      </c>
      <c r="E286" s="2">
        <v>12940.020336124177</v>
      </c>
      <c r="F286" s="11">
        <v>0.74849763120697066</v>
      </c>
      <c r="G286" s="5">
        <v>0.52349999999999997</v>
      </c>
      <c r="H286">
        <v>0.49700000000000005</v>
      </c>
      <c r="I286" s="4">
        <v>0.46500000000000002</v>
      </c>
      <c r="J286" s="3">
        <v>476672848947</v>
      </c>
      <c r="K286" s="3">
        <v>523905322264.23096</v>
      </c>
      <c r="L286" s="3">
        <v>97658</v>
      </c>
      <c r="M286" s="3">
        <v>71526260100</v>
      </c>
      <c r="N286" s="3">
        <v>78613641265.337158</v>
      </c>
      <c r="O286" s="3">
        <v>1446748</v>
      </c>
      <c r="P286" s="10">
        <v>78.613641265337165</v>
      </c>
      <c r="Q286" s="10">
        <v>523.9053222642309</v>
      </c>
      <c r="R286" s="3">
        <f t="shared" si="12"/>
        <v>12940020336124.176</v>
      </c>
      <c r="S286" s="2">
        <f t="shared" si="13"/>
        <v>0.60752332085502503</v>
      </c>
      <c r="T286" s="11">
        <f t="shared" si="14"/>
        <v>6.0752332085502502E-3</v>
      </c>
    </row>
    <row r="287" spans="1:20" x14ac:dyDescent="0.3">
      <c r="A287" t="s">
        <v>20</v>
      </c>
      <c r="B287" s="3">
        <v>54</v>
      </c>
      <c r="C287">
        <v>2018</v>
      </c>
      <c r="D287" s="2">
        <v>15341.731184952267</v>
      </c>
      <c r="E287" s="2">
        <v>13295.349604332119</v>
      </c>
      <c r="F287" s="11">
        <v>0.76666926341711916</v>
      </c>
      <c r="G287" s="5">
        <v>0.51570000000000005</v>
      </c>
      <c r="H287">
        <v>0.504</v>
      </c>
      <c r="I287" s="4">
        <v>0.46800000000000003</v>
      </c>
      <c r="J287" s="3">
        <v>483071955388</v>
      </c>
      <c r="K287" s="3">
        <v>520876849598.04523</v>
      </c>
      <c r="L287" s="3">
        <v>93305</v>
      </c>
      <c r="M287" s="3">
        <v>67054554100</v>
      </c>
      <c r="N287" s="3">
        <v>72302199498.947174</v>
      </c>
      <c r="O287" s="3">
        <v>1491689</v>
      </c>
      <c r="P287" s="10">
        <v>72.302199498947175</v>
      </c>
      <c r="Q287" s="10">
        <v>520.87684959804528</v>
      </c>
      <c r="R287" s="3">
        <f t="shared" si="12"/>
        <v>13295349604332.119</v>
      </c>
      <c r="S287" s="2">
        <f t="shared" si="13"/>
        <v>0.54381570737627261</v>
      </c>
      <c r="T287" s="11">
        <f t="shared" si="14"/>
        <v>5.4381570737627258E-3</v>
      </c>
    </row>
    <row r="288" spans="1:20" x14ac:dyDescent="0.3">
      <c r="A288" t="s">
        <v>46</v>
      </c>
      <c r="B288" s="3">
        <v>86</v>
      </c>
      <c r="C288">
        <v>2008</v>
      </c>
      <c r="D288" s="2">
        <v>2025.110687839817</v>
      </c>
      <c r="E288" s="2">
        <v>2034.1958490931629</v>
      </c>
      <c r="F288" s="11">
        <v>0.51950021549902514</v>
      </c>
      <c r="G288" s="5">
        <v>8.9700000000000002E-2</v>
      </c>
      <c r="H288">
        <v>0.55500000000000005</v>
      </c>
      <c r="I288" s="1"/>
      <c r="J288" s="3">
        <v>139187949506</v>
      </c>
      <c r="K288" s="3">
        <v>224992752785.57672</v>
      </c>
      <c r="L288" s="6">
        <v>27927</v>
      </c>
      <c r="M288" s="9">
        <v>16539359000</v>
      </c>
      <c r="N288" s="9">
        <v>26735331067.999474</v>
      </c>
      <c r="O288">
        <v>284917</v>
      </c>
      <c r="P288" s="10">
        <v>26.735331067999475</v>
      </c>
      <c r="Q288" s="10">
        <v>224.99275278557673</v>
      </c>
      <c r="R288" s="3">
        <f t="shared" si="12"/>
        <v>2034195849093.1628</v>
      </c>
      <c r="S288" s="2">
        <f t="shared" si="13"/>
        <v>1.3142948394038847</v>
      </c>
      <c r="T288" s="11">
        <f t="shared" si="14"/>
        <v>1.3142948394038846E-2</v>
      </c>
    </row>
    <row r="289" spans="1:20" x14ac:dyDescent="0.3">
      <c r="A289" t="s">
        <v>46</v>
      </c>
      <c r="B289" s="3">
        <v>86</v>
      </c>
      <c r="C289">
        <v>2009</v>
      </c>
      <c r="D289" s="2">
        <v>2292.4247999416543</v>
      </c>
      <c r="E289" s="2">
        <v>2482.038823732687</v>
      </c>
      <c r="F289" s="11">
        <v>0.46247499560402394</v>
      </c>
      <c r="G289" s="5">
        <v>9.8800000000000013E-2</v>
      </c>
      <c r="H289">
        <v>0.54400000000000004</v>
      </c>
      <c r="J289" s="3">
        <v>147262216198</v>
      </c>
      <c r="K289" s="3">
        <v>225639276533.27768</v>
      </c>
      <c r="L289" s="6">
        <v>34180</v>
      </c>
      <c r="M289" s="9">
        <v>22497649000</v>
      </c>
      <c r="N289" s="3">
        <v>34471525521.755394</v>
      </c>
      <c r="O289">
        <v>291199</v>
      </c>
      <c r="P289" s="10">
        <v>34.471525521755396</v>
      </c>
      <c r="Q289" s="10">
        <v>225.63927653327767</v>
      </c>
      <c r="R289" s="3">
        <f t="shared" si="12"/>
        <v>2482038823732.687</v>
      </c>
      <c r="S289" s="2">
        <f t="shared" si="13"/>
        <v>1.3888390943826727</v>
      </c>
      <c r="T289" s="11">
        <f t="shared" si="14"/>
        <v>1.3888390943826727E-2</v>
      </c>
    </row>
    <row r="290" spans="1:20" x14ac:dyDescent="0.3">
      <c r="A290" t="s">
        <v>46</v>
      </c>
      <c r="B290" s="3">
        <v>86</v>
      </c>
      <c r="C290">
        <v>2010</v>
      </c>
      <c r="D290" s="2">
        <v>2885.9047805638666</v>
      </c>
      <c r="E290" s="2">
        <v>2819.3750903442765</v>
      </c>
      <c r="F290" s="11">
        <v>0.51752125744743016</v>
      </c>
      <c r="G290" s="5">
        <v>0.1149</v>
      </c>
      <c r="H290">
        <v>0.54700000000000004</v>
      </c>
      <c r="J290" s="3">
        <v>155224965461</v>
      </c>
      <c r="K290" s="3">
        <v>226838861535.75391</v>
      </c>
      <c r="L290" s="6">
        <v>32021</v>
      </c>
      <c r="M290" s="9">
        <v>21776412000</v>
      </c>
      <c r="N290" s="3">
        <v>31823080080.856129</v>
      </c>
      <c r="O290">
        <v>297600</v>
      </c>
      <c r="P290" s="10">
        <v>31.82308008085613</v>
      </c>
      <c r="Q290" s="10">
        <v>226.83886153575389</v>
      </c>
      <c r="R290" s="3">
        <f t="shared" si="12"/>
        <v>2819375090344.2764</v>
      </c>
      <c r="S290" s="2">
        <f t="shared" si="13"/>
        <v>1.1287281422696469</v>
      </c>
      <c r="T290" s="11">
        <f t="shared" si="14"/>
        <v>1.128728142269647E-2</v>
      </c>
    </row>
    <row r="291" spans="1:20" x14ac:dyDescent="0.3">
      <c r="A291" t="s">
        <v>46</v>
      </c>
      <c r="B291" s="3">
        <v>86</v>
      </c>
      <c r="C291">
        <v>2011</v>
      </c>
      <c r="D291" s="2">
        <v>3637.4020772778094</v>
      </c>
      <c r="E291" s="2">
        <v>2926.9737271083181</v>
      </c>
      <c r="F291" s="11">
        <v>0.4883812986209552</v>
      </c>
      <c r="G291" s="5">
        <v>0.12509999999999999</v>
      </c>
      <c r="H291">
        <v>0.53500000000000003</v>
      </c>
      <c r="J291" s="3">
        <v>172179396405</v>
      </c>
      <c r="K291" s="3">
        <v>240819936476.32297</v>
      </c>
      <c r="L291" s="6">
        <v>31370</v>
      </c>
      <c r="M291" s="9">
        <v>18438950000</v>
      </c>
      <c r="N291" s="3">
        <v>25789768464.777512</v>
      </c>
      <c r="O291">
        <v>303929</v>
      </c>
      <c r="P291" s="10">
        <v>25.789768464777513</v>
      </c>
      <c r="Q291" s="10">
        <v>240.81993647632297</v>
      </c>
      <c r="R291" s="3">
        <f t="shared" si="12"/>
        <v>2926973727108.3184</v>
      </c>
      <c r="S291" s="2">
        <f t="shared" si="13"/>
        <v>0.88110693396132123</v>
      </c>
      <c r="T291" s="11">
        <f t="shared" si="14"/>
        <v>8.8110693396132121E-3</v>
      </c>
    </row>
    <row r="292" spans="1:20" x14ac:dyDescent="0.3">
      <c r="A292" t="s">
        <v>46</v>
      </c>
      <c r="B292" s="3">
        <v>86</v>
      </c>
      <c r="C292">
        <v>2012</v>
      </c>
      <c r="D292" s="2">
        <v>3735.7983903592026</v>
      </c>
      <c r="E292" s="2">
        <v>2905.1631926291207</v>
      </c>
      <c r="F292" s="11">
        <v>0.50911915795041673</v>
      </c>
      <c r="G292" s="5">
        <v>0.1096</v>
      </c>
      <c r="H292">
        <v>0.52700000000000002</v>
      </c>
      <c r="J292" s="3">
        <v>176423159688</v>
      </c>
      <c r="K292" s="3">
        <v>233470510667.11749</v>
      </c>
      <c r="L292" s="6">
        <v>29687</v>
      </c>
      <c r="M292" s="9">
        <v>17104445000</v>
      </c>
      <c r="N292" s="3">
        <v>22635256708.301929</v>
      </c>
      <c r="O292">
        <v>310027</v>
      </c>
      <c r="P292" s="10">
        <v>22.635256708301931</v>
      </c>
      <c r="Q292" s="10">
        <v>233.47051066711748</v>
      </c>
      <c r="R292" s="3">
        <f t="shared" si="12"/>
        <v>2905163192629.1206</v>
      </c>
      <c r="S292" s="2">
        <f t="shared" si="13"/>
        <v>0.77913890571556599</v>
      </c>
      <c r="T292" s="11">
        <f t="shared" si="14"/>
        <v>7.7913890571556597E-3</v>
      </c>
    </row>
    <row r="293" spans="1:20" x14ac:dyDescent="0.3">
      <c r="A293" t="s">
        <v>46</v>
      </c>
      <c r="B293" s="3">
        <v>86</v>
      </c>
      <c r="C293">
        <v>2013</v>
      </c>
      <c r="D293" s="2">
        <v>4497.281746945102</v>
      </c>
      <c r="E293" s="2">
        <v>3600.1922246995509</v>
      </c>
      <c r="F293" s="11">
        <v>0.4956359732754313</v>
      </c>
      <c r="G293" s="5">
        <v>0.10199999999999999</v>
      </c>
      <c r="H293">
        <v>0.52800000000000002</v>
      </c>
      <c r="J293" s="3">
        <v>186951060221</v>
      </c>
      <c r="K293" s="3">
        <v>229762853011.60901</v>
      </c>
      <c r="L293" s="6">
        <v>36118</v>
      </c>
      <c r="M293" s="9">
        <v>26970845000</v>
      </c>
      <c r="N293" s="3">
        <v>33147168505.000004</v>
      </c>
      <c r="O293">
        <v>315941</v>
      </c>
      <c r="P293" s="10">
        <v>33.147168505000003</v>
      </c>
      <c r="Q293" s="10">
        <v>229.762853011609</v>
      </c>
      <c r="R293" s="3">
        <f t="shared" si="12"/>
        <v>3600192224699.5508</v>
      </c>
      <c r="S293" s="2">
        <f t="shared" si="13"/>
        <v>0.9207055189328468</v>
      </c>
      <c r="T293" s="11">
        <f t="shared" si="14"/>
        <v>9.2070551893284683E-3</v>
      </c>
    </row>
    <row r="294" spans="1:20" x14ac:dyDescent="0.3">
      <c r="A294" t="s">
        <v>46</v>
      </c>
      <c r="B294" s="3">
        <v>86</v>
      </c>
      <c r="C294">
        <v>2014</v>
      </c>
      <c r="D294" s="2">
        <v>4485.3471781665985</v>
      </c>
      <c r="E294" s="2">
        <v>3780.4926430609175</v>
      </c>
      <c r="F294" s="11">
        <v>0.54865442893781746</v>
      </c>
      <c r="G294" s="5">
        <v>0.13449999999999998</v>
      </c>
      <c r="H294">
        <v>0.52700000000000002</v>
      </c>
      <c r="J294" s="3">
        <v>198022199686</v>
      </c>
      <c r="K294" s="3">
        <v>238597336680.48431</v>
      </c>
      <c r="L294" s="6">
        <v>37254</v>
      </c>
      <c r="M294" s="9">
        <v>30380084800</v>
      </c>
      <c r="N294" s="3">
        <v>36605023744.313721</v>
      </c>
      <c r="O294">
        <v>321850</v>
      </c>
      <c r="P294" s="10">
        <v>36.605023744313719</v>
      </c>
      <c r="Q294" s="10">
        <v>238.59733668048432</v>
      </c>
      <c r="R294" s="3">
        <f t="shared" si="12"/>
        <v>3780492643060.9175</v>
      </c>
      <c r="S294" s="2">
        <f t="shared" si="13"/>
        <v>0.96826067923983739</v>
      </c>
      <c r="T294" s="11">
        <f t="shared" si="14"/>
        <v>9.6826067923983742E-3</v>
      </c>
    </row>
    <row r="295" spans="1:20" x14ac:dyDescent="0.3">
      <c r="A295" t="s">
        <v>46</v>
      </c>
      <c r="B295" s="3">
        <v>86</v>
      </c>
      <c r="C295">
        <v>2015</v>
      </c>
      <c r="D295" s="2">
        <v>3481.4379057421474</v>
      </c>
      <c r="E295" s="2">
        <v>3481.4379057421474</v>
      </c>
      <c r="F295" s="11">
        <v>0.55486970324472129</v>
      </c>
      <c r="G295" s="5">
        <v>0.15460000000000002</v>
      </c>
      <c r="H295">
        <v>0.51100000000000001</v>
      </c>
      <c r="J295" s="3">
        <v>213400477926</v>
      </c>
      <c r="K295" s="3">
        <v>249210554324.4527</v>
      </c>
      <c r="L295" s="6">
        <v>37462</v>
      </c>
      <c r="M295" s="9">
        <v>31206300000</v>
      </c>
      <c r="N295" s="3">
        <v>36442933010.26226</v>
      </c>
      <c r="O295">
        <v>327856</v>
      </c>
      <c r="P295" s="10">
        <v>36.442933010262259</v>
      </c>
      <c r="Q295" s="10">
        <v>249.21055432445269</v>
      </c>
      <c r="R295" s="3">
        <f t="shared" si="12"/>
        <v>3481437905742.1475</v>
      </c>
      <c r="S295" s="2">
        <f t="shared" si="13"/>
        <v>1.0467781990353673</v>
      </c>
      <c r="T295" s="11">
        <f t="shared" si="14"/>
        <v>1.0467781990353673E-2</v>
      </c>
    </row>
    <row r="296" spans="1:20" x14ac:dyDescent="0.3">
      <c r="A296" t="s">
        <v>46</v>
      </c>
      <c r="B296" s="3">
        <v>86</v>
      </c>
      <c r="C296">
        <v>2016</v>
      </c>
      <c r="D296" s="2">
        <v>3297.9891791379468</v>
      </c>
      <c r="E296" s="2">
        <v>3449.5659243547761</v>
      </c>
      <c r="F296" s="11">
        <v>0.65720000000000001</v>
      </c>
      <c r="G296" s="5">
        <v>0.1404</v>
      </c>
      <c r="H296">
        <v>0.50800000000000001</v>
      </c>
      <c r="J296" s="3">
        <v>233753660572</v>
      </c>
      <c r="K296" s="3">
        <v>263176299782.87656</v>
      </c>
      <c r="L296" s="6">
        <v>37202</v>
      </c>
      <c r="M296" s="9">
        <v>32071167850</v>
      </c>
      <c r="N296" s="3">
        <v>36107974796.308174</v>
      </c>
      <c r="O296">
        <v>334152</v>
      </c>
      <c r="P296" s="10">
        <v>36.107974796308177</v>
      </c>
      <c r="Q296" s="10">
        <v>263.17629978287658</v>
      </c>
      <c r="R296" s="3">
        <f t="shared" si="12"/>
        <v>3449565924354.7764</v>
      </c>
      <c r="S296" s="2">
        <f t="shared" si="13"/>
        <v>1.0467396648771681</v>
      </c>
      <c r="T296" s="11">
        <f t="shared" si="14"/>
        <v>1.0467396648771681E-2</v>
      </c>
    </row>
    <row r="297" spans="1:20" x14ac:dyDescent="0.3">
      <c r="A297" t="s">
        <v>46</v>
      </c>
      <c r="B297" s="3">
        <v>86</v>
      </c>
      <c r="C297">
        <v>2017</v>
      </c>
      <c r="D297" s="2">
        <v>3613.0163260969407</v>
      </c>
      <c r="E297" s="2">
        <v>3385.8781796037006</v>
      </c>
      <c r="F297" s="11">
        <v>0.63366977228622468</v>
      </c>
      <c r="G297" s="5">
        <v>0.1109</v>
      </c>
      <c r="H297">
        <v>0.49700000000000005</v>
      </c>
      <c r="J297" s="3">
        <v>246164135099</v>
      </c>
      <c r="K297" s="3">
        <v>270556002536.81903</v>
      </c>
      <c r="L297" s="6">
        <v>37823</v>
      </c>
      <c r="M297" s="9">
        <v>31035497150</v>
      </c>
      <c r="N297" s="3">
        <v>34110736896.217136</v>
      </c>
      <c r="O297">
        <v>340750</v>
      </c>
      <c r="P297" s="10">
        <v>34.110736896217134</v>
      </c>
      <c r="Q297" s="10">
        <v>270.55600253681905</v>
      </c>
      <c r="R297" s="3">
        <f t="shared" si="12"/>
        <v>3385878179603.7007</v>
      </c>
      <c r="S297" s="2">
        <f t="shared" si="13"/>
        <v>1.0074413516026031</v>
      </c>
      <c r="T297" s="11">
        <f t="shared" si="14"/>
        <v>1.007441351602603E-2</v>
      </c>
    </row>
    <row r="298" spans="1:20" x14ac:dyDescent="0.3">
      <c r="A298" t="s">
        <v>46</v>
      </c>
      <c r="B298" s="3">
        <v>86</v>
      </c>
      <c r="C298">
        <v>2018</v>
      </c>
      <c r="D298" s="2">
        <v>4055.0357661581033</v>
      </c>
      <c r="E298" s="2">
        <v>3392.3995245596038</v>
      </c>
      <c r="F298" s="11">
        <v>0.62829434714664489</v>
      </c>
      <c r="G298" s="5">
        <v>0.1149</v>
      </c>
      <c r="H298">
        <v>0.504</v>
      </c>
      <c r="J298" s="3">
        <v>260069215101</v>
      </c>
      <c r="K298" s="3">
        <v>280422061202.95575</v>
      </c>
      <c r="L298" s="6">
        <v>36638</v>
      </c>
      <c r="M298" s="9">
        <v>29848687150</v>
      </c>
      <c r="N298" s="3">
        <v>32184625817.994381</v>
      </c>
      <c r="O298">
        <v>348182</v>
      </c>
      <c r="P298" s="10">
        <v>32.18462581799438</v>
      </c>
      <c r="Q298" s="10">
        <v>280.42206120295577</v>
      </c>
      <c r="R298" s="3">
        <f t="shared" si="12"/>
        <v>3392399524559.604</v>
      </c>
      <c r="S298" s="2">
        <f t="shared" si="13"/>
        <v>0.94872745928039048</v>
      </c>
      <c r="T298" s="11">
        <f t="shared" si="14"/>
        <v>9.4872745928039053E-3</v>
      </c>
    </row>
    <row r="299" spans="1:20" x14ac:dyDescent="0.3">
      <c r="A299" t="s">
        <v>47</v>
      </c>
      <c r="B299" s="3">
        <v>66</v>
      </c>
      <c r="C299">
        <v>2008</v>
      </c>
      <c r="D299" s="2">
        <v>7438.1842443982378</v>
      </c>
      <c r="E299" s="2">
        <v>10272.170954192852</v>
      </c>
      <c r="F299" s="11">
        <v>0.67266761043462342</v>
      </c>
      <c r="G299" s="5">
        <v>0.39039999999999997</v>
      </c>
      <c r="H299">
        <v>0.55500000000000005</v>
      </c>
      <c r="I299" s="4">
        <v>0.51</v>
      </c>
      <c r="J299" s="3">
        <v>96835627505</v>
      </c>
      <c r="K299" s="3">
        <v>156531614104.49164</v>
      </c>
      <c r="L299" s="3">
        <v>24951</v>
      </c>
      <c r="M299" s="3">
        <v>13063202000</v>
      </c>
      <c r="N299" s="3">
        <v>21116237351.045639</v>
      </c>
      <c r="O299" s="3">
        <v>893797</v>
      </c>
      <c r="P299" s="10">
        <v>21.11623735104564</v>
      </c>
      <c r="Q299" s="10">
        <v>156.53161410449164</v>
      </c>
      <c r="R299" s="3">
        <f t="shared" si="12"/>
        <v>10272170954192.852</v>
      </c>
      <c r="S299" s="2">
        <f t="shared" si="13"/>
        <v>0.20556742528147373</v>
      </c>
      <c r="T299" s="11">
        <f t="shared" si="14"/>
        <v>2.0556742528147374E-3</v>
      </c>
    </row>
    <row r="300" spans="1:20" x14ac:dyDescent="0.3">
      <c r="A300" t="s">
        <v>47</v>
      </c>
      <c r="B300" s="3">
        <v>66</v>
      </c>
      <c r="C300">
        <v>2009</v>
      </c>
      <c r="D300" s="2">
        <v>7969.2742104567405</v>
      </c>
      <c r="E300" s="2">
        <v>10336.034283893716</v>
      </c>
      <c r="F300" s="11">
        <v>0.63909885357095941</v>
      </c>
      <c r="G300" s="5">
        <v>0.37829999999999997</v>
      </c>
      <c r="H300">
        <v>0.54400000000000004</v>
      </c>
      <c r="I300" s="4">
        <v>0.48399999999999999</v>
      </c>
      <c r="J300" s="3">
        <v>107470733468</v>
      </c>
      <c r="K300" s="3">
        <v>164669656442.05463</v>
      </c>
      <c r="L300" s="3">
        <v>40971</v>
      </c>
      <c r="M300" s="3">
        <v>20785015000</v>
      </c>
      <c r="N300" s="3">
        <v>31847379921.456181</v>
      </c>
      <c r="O300" s="3">
        <v>898126</v>
      </c>
      <c r="P300" s="10">
        <v>31.847379921456181</v>
      </c>
      <c r="Q300" s="10">
        <v>164.66965644205462</v>
      </c>
      <c r="R300" s="3">
        <f t="shared" si="12"/>
        <v>10336034283893.717</v>
      </c>
      <c r="S300" s="2">
        <f t="shared" si="13"/>
        <v>0.30811991375727965</v>
      </c>
      <c r="T300" s="11">
        <f t="shared" si="14"/>
        <v>3.0811991375727966E-3</v>
      </c>
    </row>
    <row r="301" spans="1:20" x14ac:dyDescent="0.3">
      <c r="A301" t="s">
        <v>47</v>
      </c>
      <c r="B301" s="3">
        <v>66</v>
      </c>
      <c r="C301">
        <v>2010</v>
      </c>
      <c r="D301" s="2">
        <v>8420.282877153857</v>
      </c>
      <c r="E301" s="2">
        <v>10503.061453880591</v>
      </c>
      <c r="F301" s="11">
        <v>0.7774555054046709</v>
      </c>
      <c r="G301" s="5">
        <v>0.42349999999999999</v>
      </c>
      <c r="H301">
        <v>0.54700000000000004</v>
      </c>
      <c r="I301" s="4">
        <v>0.48399999999999999</v>
      </c>
      <c r="J301" s="3">
        <v>112760324936</v>
      </c>
      <c r="K301" s="3">
        <v>164782924311.94296</v>
      </c>
      <c r="L301" s="3">
        <v>39188</v>
      </c>
      <c r="M301" s="3">
        <v>24113990000</v>
      </c>
      <c r="N301" s="3">
        <v>35239112615.933418</v>
      </c>
      <c r="O301" s="3">
        <v>902994</v>
      </c>
      <c r="P301" s="10">
        <v>35.239112615933415</v>
      </c>
      <c r="Q301" s="10">
        <v>164.78292431194296</v>
      </c>
      <c r="R301" s="3">
        <f t="shared" si="12"/>
        <v>10503061453880.592</v>
      </c>
      <c r="S301" s="2">
        <f t="shared" si="13"/>
        <v>0.33551277187770367</v>
      </c>
      <c r="T301" s="11">
        <f t="shared" si="14"/>
        <v>3.3551277187770369E-3</v>
      </c>
    </row>
    <row r="302" spans="1:20" x14ac:dyDescent="0.3">
      <c r="A302" t="s">
        <v>47</v>
      </c>
      <c r="B302" s="3">
        <v>66</v>
      </c>
      <c r="C302">
        <v>2011</v>
      </c>
      <c r="D302" s="2">
        <v>8979.6575541202346</v>
      </c>
      <c r="E302" s="2">
        <v>10665.176060044323</v>
      </c>
      <c r="F302" s="11">
        <v>0.75865375518028411</v>
      </c>
      <c r="G302" s="5">
        <v>0.44219999999999998</v>
      </c>
      <c r="H302">
        <v>0.53500000000000003</v>
      </c>
      <c r="I302" s="4">
        <v>0.47799999999999998</v>
      </c>
      <c r="J302" s="3">
        <v>121401411774</v>
      </c>
      <c r="K302" s="3">
        <v>169798947388.46704</v>
      </c>
      <c r="L302" s="3">
        <v>35084</v>
      </c>
      <c r="M302" s="3">
        <v>18659760000</v>
      </c>
      <c r="N302" s="3">
        <v>26098605940.594059</v>
      </c>
      <c r="O302" s="3">
        <v>907896</v>
      </c>
      <c r="P302" s="10">
        <v>26.098605940594059</v>
      </c>
      <c r="Q302" s="10">
        <v>169.79894738846704</v>
      </c>
      <c r="R302" s="3">
        <f t="shared" si="12"/>
        <v>10665176060044.322</v>
      </c>
      <c r="S302" s="2">
        <f t="shared" si="13"/>
        <v>0.24470862734623811</v>
      </c>
      <c r="T302" s="11">
        <f t="shared" si="14"/>
        <v>2.447086273462381E-3</v>
      </c>
    </row>
    <row r="303" spans="1:20" x14ac:dyDescent="0.3">
      <c r="A303" t="s">
        <v>47</v>
      </c>
      <c r="B303" s="3">
        <v>66</v>
      </c>
      <c r="C303">
        <v>2012</v>
      </c>
      <c r="D303" s="2">
        <v>9629.1183088533708</v>
      </c>
      <c r="E303" s="2">
        <v>10977.942623451119</v>
      </c>
      <c r="F303" s="11">
        <v>0.76688412261288263</v>
      </c>
      <c r="G303" s="5">
        <v>0.45390000000000003</v>
      </c>
      <c r="H303">
        <v>0.52700000000000002</v>
      </c>
      <c r="I303" s="4">
        <v>0.48699999999999999</v>
      </c>
      <c r="J303" s="3">
        <v>128977156614</v>
      </c>
      <c r="K303" s="3">
        <v>170682594463.88071</v>
      </c>
      <c r="L303" s="3">
        <v>30047</v>
      </c>
      <c r="M303" s="3">
        <v>14886240000</v>
      </c>
      <c r="N303" s="3">
        <v>19699783525.358028</v>
      </c>
      <c r="O303" s="3">
        <v>912087</v>
      </c>
      <c r="P303" s="10">
        <v>19.699783525358029</v>
      </c>
      <c r="Q303" s="10">
        <v>170.68259446388072</v>
      </c>
      <c r="R303" s="3">
        <f t="shared" si="12"/>
        <v>10977942623451.119</v>
      </c>
      <c r="S303" s="2">
        <f t="shared" si="13"/>
        <v>0.17944877470278706</v>
      </c>
      <c r="T303" s="11">
        <f t="shared" si="14"/>
        <v>1.7944877470278705E-3</v>
      </c>
    </row>
    <row r="304" spans="1:20" x14ac:dyDescent="0.3">
      <c r="A304" t="s">
        <v>47</v>
      </c>
      <c r="B304" s="3">
        <v>66</v>
      </c>
      <c r="C304">
        <v>2013</v>
      </c>
      <c r="D304" s="2">
        <v>10612.879412937771</v>
      </c>
      <c r="E304" s="2">
        <v>11814.715994659879</v>
      </c>
      <c r="F304" s="11">
        <v>0.70453963511062623</v>
      </c>
      <c r="G304" s="5">
        <v>0.50130000000000008</v>
      </c>
      <c r="H304">
        <v>0.52800000000000002</v>
      </c>
      <c r="I304" s="4">
        <v>0.501</v>
      </c>
      <c r="J304" s="3">
        <v>135016325429</v>
      </c>
      <c r="K304" s="3">
        <v>165935063952.241</v>
      </c>
      <c r="L304" s="3">
        <v>41958</v>
      </c>
      <c r="M304" s="3">
        <v>25632005000</v>
      </c>
      <c r="N304" s="3">
        <v>31501734145.000004</v>
      </c>
      <c r="O304" s="3">
        <v>915413</v>
      </c>
      <c r="P304" s="10">
        <v>31.501734145000004</v>
      </c>
      <c r="Q304" s="10">
        <v>165.93506395224099</v>
      </c>
      <c r="R304" s="3">
        <f t="shared" si="12"/>
        <v>11814715994659.879</v>
      </c>
      <c r="S304" s="2">
        <f t="shared" si="13"/>
        <v>0.26663132790698008</v>
      </c>
      <c r="T304" s="11">
        <f t="shared" si="14"/>
        <v>2.6663132790698007E-3</v>
      </c>
    </row>
    <row r="305" spans="1:20" x14ac:dyDescent="0.3">
      <c r="A305" t="s">
        <v>47</v>
      </c>
      <c r="B305" s="3">
        <v>66</v>
      </c>
      <c r="C305">
        <v>2014</v>
      </c>
      <c r="D305" s="2">
        <v>11727.873606362667</v>
      </c>
      <c r="E305" s="2">
        <v>12366.56066412632</v>
      </c>
      <c r="F305" s="11">
        <v>0.74559799475731126</v>
      </c>
      <c r="G305" s="5">
        <v>0.56279999999999997</v>
      </c>
      <c r="H305">
        <v>0.52700000000000002</v>
      </c>
      <c r="I305" s="4">
        <v>0.498</v>
      </c>
      <c r="J305" s="3">
        <v>135245918556</v>
      </c>
      <c r="K305" s="3">
        <v>162958072456.19998</v>
      </c>
      <c r="L305" s="3">
        <v>41261</v>
      </c>
      <c r="M305" s="3">
        <v>28108665800</v>
      </c>
      <c r="N305" s="3">
        <v>33868186537.450977</v>
      </c>
      <c r="O305" s="3">
        <v>918965</v>
      </c>
      <c r="P305" s="10">
        <v>33.868186537450974</v>
      </c>
      <c r="Q305" s="10">
        <v>162.95807245619997</v>
      </c>
      <c r="R305" s="3">
        <f t="shared" si="12"/>
        <v>12366560664126.32</v>
      </c>
      <c r="S305" s="2">
        <f t="shared" si="13"/>
        <v>0.27386908500516155</v>
      </c>
      <c r="T305" s="11">
        <f t="shared" si="14"/>
        <v>2.7386908500516157E-3</v>
      </c>
    </row>
    <row r="306" spans="1:20" x14ac:dyDescent="0.3">
      <c r="A306" t="s">
        <v>47</v>
      </c>
      <c r="B306" s="3">
        <v>66</v>
      </c>
      <c r="C306">
        <v>2015</v>
      </c>
      <c r="D306" s="2">
        <v>12655.734420829191</v>
      </c>
      <c r="E306" s="2">
        <v>12655.734420829191</v>
      </c>
      <c r="F306" s="11">
        <v>0.77774315109081682</v>
      </c>
      <c r="G306" s="5">
        <v>0.56820000000000004</v>
      </c>
      <c r="H306">
        <v>0.51100000000000001</v>
      </c>
      <c r="I306" s="4">
        <v>0.46100000000000002</v>
      </c>
      <c r="J306" s="3">
        <v>132977616238</v>
      </c>
      <c r="K306" s="3">
        <v>155292180118.30292</v>
      </c>
      <c r="L306" s="3">
        <v>39034</v>
      </c>
      <c r="M306" s="3">
        <v>27004824100</v>
      </c>
      <c r="N306" s="3">
        <v>31536420390.440899</v>
      </c>
      <c r="O306" s="3">
        <v>923443</v>
      </c>
      <c r="P306" s="10">
        <v>31.536420390440899</v>
      </c>
      <c r="Q306" s="10">
        <v>155.29218011830292</v>
      </c>
      <c r="R306" s="3">
        <f t="shared" si="12"/>
        <v>12655734420829.191</v>
      </c>
      <c r="S306" s="2">
        <f t="shared" si="13"/>
        <v>0.24918680608955654</v>
      </c>
      <c r="T306" s="11">
        <f t="shared" si="14"/>
        <v>2.4918680608955654E-3</v>
      </c>
    </row>
    <row r="307" spans="1:20" x14ac:dyDescent="0.3">
      <c r="A307" t="s">
        <v>47</v>
      </c>
      <c r="B307" s="3">
        <v>66</v>
      </c>
      <c r="C307">
        <v>2016</v>
      </c>
      <c r="D307" s="2">
        <v>13890.500660602378</v>
      </c>
      <c r="E307" s="2">
        <v>13027.281363017793</v>
      </c>
      <c r="F307" s="11">
        <v>0.7659999999999999</v>
      </c>
      <c r="G307" s="5">
        <v>0.58660000000000001</v>
      </c>
      <c r="H307">
        <v>0.50800000000000001</v>
      </c>
      <c r="I307" s="4">
        <v>0.435</v>
      </c>
      <c r="J307" s="3">
        <v>152768076908</v>
      </c>
      <c r="K307" s="3">
        <v>171997037852.63104</v>
      </c>
      <c r="L307" s="3">
        <v>38141</v>
      </c>
      <c r="M307" s="3">
        <v>27465688400</v>
      </c>
      <c r="N307" s="3">
        <v>30922802348.479301</v>
      </c>
      <c r="O307" s="3">
        <v>929046</v>
      </c>
      <c r="P307" s="10">
        <v>30.922802348479301</v>
      </c>
      <c r="Q307" s="10">
        <v>171.99703785263105</v>
      </c>
      <c r="R307" s="3">
        <f t="shared" si="12"/>
        <v>13027281363017.793</v>
      </c>
      <c r="S307" s="2">
        <f t="shared" si="13"/>
        <v>0.23736957456268509</v>
      </c>
      <c r="T307" s="11">
        <f t="shared" si="14"/>
        <v>2.3736957456268509E-3</v>
      </c>
    </row>
    <row r="308" spans="1:20" x14ac:dyDescent="0.3">
      <c r="A308" t="s">
        <v>47</v>
      </c>
      <c r="B308" s="3">
        <v>66</v>
      </c>
      <c r="C308">
        <v>2017</v>
      </c>
      <c r="D308" s="2">
        <v>14922.396078169428</v>
      </c>
      <c r="E308" s="2">
        <v>13202.218898587202</v>
      </c>
      <c r="F308" s="11">
        <v>0.78879949204151023</v>
      </c>
      <c r="G308" s="5">
        <v>0.60650000000000004</v>
      </c>
      <c r="H308">
        <v>0.49700000000000005</v>
      </c>
      <c r="I308" s="4">
        <v>0.42699999999999999</v>
      </c>
      <c r="J308" s="3">
        <v>164739851767</v>
      </c>
      <c r="K308" s="3">
        <v>181063564497.9816</v>
      </c>
      <c r="L308" s="3">
        <v>38001</v>
      </c>
      <c r="M308" s="3">
        <v>26355007600</v>
      </c>
      <c r="N308" s="3">
        <v>28966467841.531036</v>
      </c>
      <c r="O308" s="3">
        <v>935164</v>
      </c>
      <c r="P308" s="10">
        <v>28.966467841531035</v>
      </c>
      <c r="Q308" s="10">
        <v>181.06356449798159</v>
      </c>
      <c r="R308" s="3">
        <f t="shared" si="12"/>
        <v>13202218898587.201</v>
      </c>
      <c r="S308" s="2">
        <f t="shared" si="13"/>
        <v>0.21940605639125407</v>
      </c>
      <c r="T308" s="11">
        <f t="shared" si="14"/>
        <v>2.1940605639125406E-3</v>
      </c>
    </row>
    <row r="309" spans="1:20" x14ac:dyDescent="0.3">
      <c r="A309" t="s">
        <v>47</v>
      </c>
      <c r="B309" s="3">
        <v>66</v>
      </c>
      <c r="C309">
        <v>2018</v>
      </c>
      <c r="D309" s="2">
        <v>15800.765743030377</v>
      </c>
      <c r="E309" s="2">
        <v>13554.499403156131</v>
      </c>
      <c r="F309" s="11">
        <v>0.75194024788938774</v>
      </c>
      <c r="G309" s="5">
        <v>0.60809999999999997</v>
      </c>
      <c r="H309">
        <v>0.504</v>
      </c>
      <c r="I309" s="4">
        <v>0.439</v>
      </c>
      <c r="J309" s="3">
        <v>165227422997</v>
      </c>
      <c r="K309" s="3">
        <v>178158012689.34286</v>
      </c>
      <c r="L309" s="8">
        <v>35157</v>
      </c>
      <c r="M309" s="3">
        <v>23291106200</v>
      </c>
      <c r="N309" s="3">
        <v>25113852886.295837</v>
      </c>
      <c r="O309" s="3">
        <v>943401</v>
      </c>
      <c r="P309" s="10">
        <v>25.113852886295838</v>
      </c>
      <c r="Q309" s="10">
        <v>178.15801268934285</v>
      </c>
      <c r="R309" s="3">
        <f t="shared" si="12"/>
        <v>13554499403156.131</v>
      </c>
      <c r="S309" s="2">
        <f t="shared" si="13"/>
        <v>0.18528056359239753</v>
      </c>
      <c r="T309" s="11">
        <f t="shared" si="14"/>
        <v>1.8528056359239753E-3</v>
      </c>
    </row>
    <row r="310" spans="1:20" x14ac:dyDescent="0.3">
      <c r="A310" t="s">
        <v>48</v>
      </c>
      <c r="B310" s="3">
        <v>88</v>
      </c>
      <c r="C310">
        <v>2008</v>
      </c>
      <c r="D310" s="2">
        <v>688.58406290718676</v>
      </c>
      <c r="E310" s="2">
        <v>941.78287852803214</v>
      </c>
      <c r="F310" s="11">
        <v>0.51128801067469276</v>
      </c>
      <c r="G310" s="5">
        <v>0.19109999999999999</v>
      </c>
      <c r="H310">
        <v>0.55500000000000005</v>
      </c>
      <c r="I310" s="1"/>
      <c r="J310" s="3">
        <v>24114291071</v>
      </c>
      <c r="K310" s="3">
        <v>38979960181.847954</v>
      </c>
      <c r="L310" s="6">
        <v>68990</v>
      </c>
      <c r="M310" s="9">
        <v>582355000</v>
      </c>
      <c r="N310" s="9">
        <v>941357746.94199646</v>
      </c>
      <c r="O310">
        <v>61971</v>
      </c>
      <c r="P310" s="10">
        <v>0.94135774694199648</v>
      </c>
      <c r="Q310" s="10">
        <v>38.979960181847957</v>
      </c>
      <c r="R310" s="3">
        <f t="shared" si="12"/>
        <v>941782878528.0321</v>
      </c>
      <c r="S310" s="2">
        <f t="shared" si="13"/>
        <v>9.995485885380502E-2</v>
      </c>
      <c r="T310" s="11">
        <f t="shared" si="14"/>
        <v>9.9954858853805017E-4</v>
      </c>
    </row>
    <row r="311" spans="1:20" x14ac:dyDescent="0.3">
      <c r="A311" t="s">
        <v>48</v>
      </c>
      <c r="B311" s="3">
        <v>88</v>
      </c>
      <c r="C311">
        <v>2009</v>
      </c>
      <c r="D311" s="2">
        <v>753.18230921317991</v>
      </c>
      <c r="E311" s="2">
        <v>968.73626057344711</v>
      </c>
      <c r="F311" s="11">
        <v>0.52770603331650867</v>
      </c>
      <c r="G311" s="5">
        <v>0.21489999999999998</v>
      </c>
      <c r="H311">
        <v>0.54400000000000004</v>
      </c>
      <c r="J311" s="3">
        <v>25373078261</v>
      </c>
      <c r="K311" s="3">
        <v>38877338464.990654</v>
      </c>
      <c r="L311" s="6">
        <v>104739</v>
      </c>
      <c r="M311" s="9">
        <v>784100000</v>
      </c>
      <c r="N311" s="3">
        <v>1201419897.7683582</v>
      </c>
      <c r="O311">
        <v>61875</v>
      </c>
      <c r="P311" s="10">
        <v>1.2014198977683583</v>
      </c>
      <c r="Q311" s="10">
        <v>38.877338464990657</v>
      </c>
      <c r="R311" s="3">
        <f t="shared" si="12"/>
        <v>968736260573.44714</v>
      </c>
      <c r="S311" s="2">
        <f t="shared" si="13"/>
        <v>0.12401929675443069</v>
      </c>
      <c r="T311" s="11">
        <f t="shared" si="14"/>
        <v>1.2401929675443068E-3</v>
      </c>
    </row>
    <row r="312" spans="1:20" x14ac:dyDescent="0.3">
      <c r="A312" t="s">
        <v>48</v>
      </c>
      <c r="B312" s="3">
        <v>88</v>
      </c>
      <c r="C312">
        <v>2010</v>
      </c>
      <c r="D312" s="2">
        <v>785.31176128463733</v>
      </c>
      <c r="E312" s="2">
        <v>984.59119118839703</v>
      </c>
      <c r="F312" s="11">
        <v>0.63358441493505469</v>
      </c>
      <c r="G312" s="5">
        <v>0.25730000000000003</v>
      </c>
      <c r="H312">
        <v>0.54700000000000004</v>
      </c>
      <c r="J312" s="3">
        <v>24242308687</v>
      </c>
      <c r="K312" s="3">
        <v>35426631838.671822</v>
      </c>
      <c r="L312" s="6">
        <v>98039</v>
      </c>
      <c r="M312" s="9">
        <v>964365000</v>
      </c>
      <c r="N312" s="3">
        <v>1409280124.8513677</v>
      </c>
      <c r="O312">
        <v>61787</v>
      </c>
      <c r="P312" s="10">
        <v>1.4092801248513678</v>
      </c>
      <c r="Q312" s="10">
        <v>35.426631838671824</v>
      </c>
      <c r="R312" s="3">
        <f t="shared" si="12"/>
        <v>984591191188.39697</v>
      </c>
      <c r="S312" s="2">
        <f t="shared" si="13"/>
        <v>0.14313352967848242</v>
      </c>
      <c r="T312" s="11">
        <f t="shared" si="14"/>
        <v>1.4313352967848241E-3</v>
      </c>
    </row>
    <row r="313" spans="1:20" x14ac:dyDescent="0.3">
      <c r="A313" t="s">
        <v>48</v>
      </c>
      <c r="B313" s="3">
        <v>88</v>
      </c>
      <c r="C313">
        <v>2011</v>
      </c>
      <c r="D313" s="2">
        <v>857.39916931172422</v>
      </c>
      <c r="E313" s="2">
        <v>1036.9124622177321</v>
      </c>
      <c r="F313" s="11">
        <v>0.57395965034192176</v>
      </c>
      <c r="G313" s="5">
        <v>0.15479999999999999</v>
      </c>
      <c r="H313">
        <v>0.53500000000000003</v>
      </c>
      <c r="J313" s="3">
        <v>26109108643</v>
      </c>
      <c r="K313" s="3">
        <v>36517690363.317398</v>
      </c>
      <c r="L313" s="6">
        <v>90412</v>
      </c>
      <c r="M313" s="9">
        <v>741170000</v>
      </c>
      <c r="N313" s="3">
        <v>1036642688.0619097</v>
      </c>
      <c r="O313">
        <v>61711</v>
      </c>
      <c r="P313" s="10">
        <v>1.0366426880619097</v>
      </c>
      <c r="Q313" s="10">
        <v>36.517690363317399</v>
      </c>
      <c r="R313" s="3">
        <f t="shared" si="12"/>
        <v>1036912462217.7322</v>
      </c>
      <c r="S313" s="2">
        <f t="shared" si="13"/>
        <v>9.9973982938227443E-2</v>
      </c>
      <c r="T313" s="11">
        <f t="shared" si="14"/>
        <v>9.9973982938227437E-4</v>
      </c>
    </row>
    <row r="314" spans="1:20" x14ac:dyDescent="0.3">
      <c r="A314" t="s">
        <v>48</v>
      </c>
      <c r="B314" s="3">
        <v>88</v>
      </c>
      <c r="C314">
        <v>2012</v>
      </c>
      <c r="D314" s="2">
        <v>933.9537673131764</v>
      </c>
      <c r="E314" s="2">
        <v>1078.1352818166022</v>
      </c>
      <c r="F314" s="11">
        <v>0.5561799772950482</v>
      </c>
      <c r="G314" s="5">
        <v>0.17370000000000002</v>
      </c>
      <c r="H314">
        <v>0.52700000000000002</v>
      </c>
      <c r="J314" s="3">
        <v>27020756171</v>
      </c>
      <c r="K314" s="3">
        <v>35758058936.318512</v>
      </c>
      <c r="L314" s="6">
        <v>81192</v>
      </c>
      <c r="M314" s="9">
        <v>583870000</v>
      </c>
      <c r="N314" s="3">
        <v>772667416.81920969</v>
      </c>
      <c r="O314">
        <v>61633</v>
      </c>
      <c r="P314" s="10">
        <v>0.7726674168192097</v>
      </c>
      <c r="Q314" s="10">
        <v>35.758058936318513</v>
      </c>
      <c r="R314" s="3">
        <f t="shared" si="12"/>
        <v>1078135281816.6022</v>
      </c>
      <c r="S314" s="2">
        <f t="shared" si="13"/>
        <v>7.166701895863245E-2</v>
      </c>
      <c r="T314" s="11">
        <f t="shared" si="14"/>
        <v>7.1667018958632448E-4</v>
      </c>
    </row>
    <row r="315" spans="1:20" x14ac:dyDescent="0.3">
      <c r="A315" t="s">
        <v>48</v>
      </c>
      <c r="B315" s="3">
        <v>88</v>
      </c>
      <c r="C315">
        <v>2013</v>
      </c>
      <c r="D315" s="2">
        <v>1046.3722227870887</v>
      </c>
      <c r="E315" s="2">
        <v>1147.8969765223824</v>
      </c>
      <c r="F315" s="11">
        <v>0.52418653061632381</v>
      </c>
      <c r="G315" s="5">
        <v>0.18760000000000002</v>
      </c>
      <c r="H315">
        <v>0.52800000000000002</v>
      </c>
      <c r="J315" s="3">
        <v>26243420857</v>
      </c>
      <c r="K315" s="3">
        <v>32253164233.253002</v>
      </c>
      <c r="L315" s="6">
        <v>104914</v>
      </c>
      <c r="M315" s="9">
        <v>1489630000</v>
      </c>
      <c r="N315" s="3">
        <v>1830755270.0000002</v>
      </c>
      <c r="O315">
        <v>61543</v>
      </c>
      <c r="P315" s="10">
        <v>1.8307552700000003</v>
      </c>
      <c r="Q315" s="10">
        <v>32.253164233253003</v>
      </c>
      <c r="R315" s="3">
        <f t="shared" si="12"/>
        <v>1147896976522.3823</v>
      </c>
      <c r="S315" s="2">
        <f t="shared" si="13"/>
        <v>0.15948776827920352</v>
      </c>
      <c r="T315" s="11">
        <f t="shared" si="14"/>
        <v>1.5948776827920353E-3</v>
      </c>
    </row>
    <row r="316" spans="1:20" x14ac:dyDescent="0.3">
      <c r="A316" t="s">
        <v>48</v>
      </c>
      <c r="B316" s="3">
        <v>88</v>
      </c>
      <c r="C316">
        <v>2014</v>
      </c>
      <c r="D316" s="2">
        <v>1144.4914804316379</v>
      </c>
      <c r="E316" s="2">
        <v>1198.6327544902226</v>
      </c>
      <c r="F316" s="11">
        <v>0.59900583453344847</v>
      </c>
      <c r="G316" s="5">
        <v>0.27589999999999998</v>
      </c>
      <c r="H316">
        <v>0.52700000000000002</v>
      </c>
      <c r="J316" s="3">
        <v>26928443248</v>
      </c>
      <c r="K316" s="3">
        <v>32446134070.384312</v>
      </c>
      <c r="L316" s="6">
        <v>104220</v>
      </c>
      <c r="M316" s="9">
        <v>1711768200</v>
      </c>
      <c r="N316" s="3">
        <v>2062512860.5882351</v>
      </c>
      <c r="O316">
        <v>61463</v>
      </c>
      <c r="P316" s="10">
        <v>2.0625128605882352</v>
      </c>
      <c r="Q316" s="10">
        <v>32.446134070384311</v>
      </c>
      <c r="R316" s="3">
        <f t="shared" si="12"/>
        <v>1198632754490.2227</v>
      </c>
      <c r="S316" s="2">
        <f t="shared" si="13"/>
        <v>0.17207212575009431</v>
      </c>
      <c r="T316" s="11">
        <f t="shared" si="14"/>
        <v>1.720721257500943E-3</v>
      </c>
    </row>
    <row r="317" spans="1:20" x14ac:dyDescent="0.3">
      <c r="A317" t="s">
        <v>48</v>
      </c>
      <c r="B317" s="3">
        <v>88</v>
      </c>
      <c r="C317">
        <v>2015</v>
      </c>
      <c r="D317" s="2">
        <v>1253.0433402763442</v>
      </c>
      <c r="E317" s="2">
        <v>1253.0433402763442</v>
      </c>
      <c r="F317" s="11">
        <v>0.5239506361703401</v>
      </c>
      <c r="G317" s="5">
        <v>0.25129999999999997</v>
      </c>
      <c r="H317">
        <v>0.51100000000000001</v>
      </c>
      <c r="J317" s="3">
        <v>31172602238</v>
      </c>
      <c r="K317" s="3">
        <v>36403580530.693657</v>
      </c>
      <c r="L317" s="6">
        <v>98584</v>
      </c>
      <c r="M317" s="9">
        <v>1573048400</v>
      </c>
      <c r="N317" s="3">
        <v>1837016803.1166856</v>
      </c>
      <c r="O317">
        <v>61406</v>
      </c>
      <c r="P317" s="10">
        <v>1.8370168031166856</v>
      </c>
      <c r="Q317" s="10">
        <v>36.40358053069366</v>
      </c>
      <c r="R317" s="3">
        <f t="shared" si="12"/>
        <v>1253043340276.3442</v>
      </c>
      <c r="S317" s="2">
        <f t="shared" si="13"/>
        <v>0.14660441056344889</v>
      </c>
      <c r="T317" s="11">
        <f t="shared" si="14"/>
        <v>1.4660441056344889E-3</v>
      </c>
    </row>
    <row r="318" spans="1:20" x14ac:dyDescent="0.3">
      <c r="A318" t="s">
        <v>48</v>
      </c>
      <c r="B318" s="3">
        <v>88</v>
      </c>
      <c r="C318">
        <v>2016</v>
      </c>
      <c r="D318" s="2">
        <v>1340.5336857358213</v>
      </c>
      <c r="E318" s="2">
        <v>1304.7996663904173</v>
      </c>
      <c r="F318" s="11">
        <v>0.63049999999999995</v>
      </c>
      <c r="G318" s="5">
        <v>0.1946</v>
      </c>
      <c r="H318">
        <v>0.50800000000000001</v>
      </c>
      <c r="J318" s="3">
        <v>34601767655.149803</v>
      </c>
      <c r="K318" s="3">
        <v>38957101912.952652</v>
      </c>
      <c r="L318" s="6">
        <v>95484</v>
      </c>
      <c r="M318" s="9">
        <v>1475527400</v>
      </c>
      <c r="N318" s="3">
        <v>1661252450.1648958</v>
      </c>
      <c r="O318">
        <v>61358</v>
      </c>
      <c r="P318" s="10">
        <v>1.6612524501648958</v>
      </c>
      <c r="Q318" s="10">
        <v>38.957101912952652</v>
      </c>
      <c r="R318" s="3">
        <f t="shared" si="12"/>
        <v>1304799666390.4172</v>
      </c>
      <c r="S318" s="2">
        <f t="shared" si="13"/>
        <v>0.12731858330103388</v>
      </c>
      <c r="T318" s="11">
        <f t="shared" si="14"/>
        <v>1.2731858330103387E-3</v>
      </c>
    </row>
    <row r="319" spans="1:20" x14ac:dyDescent="0.3">
      <c r="A319" t="s">
        <v>48</v>
      </c>
      <c r="B319" s="3">
        <v>88</v>
      </c>
      <c r="C319">
        <v>2017</v>
      </c>
      <c r="D319" s="2">
        <v>1438.5652601254476</v>
      </c>
      <c r="E319" s="2">
        <v>1342.6493029735727</v>
      </c>
      <c r="F319" s="11">
        <v>0.63532078369427636</v>
      </c>
      <c r="G319" s="5">
        <v>0.20480000000000001</v>
      </c>
      <c r="H319">
        <v>0.49700000000000005</v>
      </c>
      <c r="J319" s="3">
        <v>34480603859</v>
      </c>
      <c r="K319" s="3">
        <v>37897211717.681099</v>
      </c>
      <c r="L319" s="6">
        <v>95127</v>
      </c>
      <c r="M319" s="9">
        <v>1224564550</v>
      </c>
      <c r="N319" s="3">
        <v>1345903981.3539619</v>
      </c>
      <c r="O319">
        <v>61309</v>
      </c>
      <c r="P319" s="10">
        <v>1.3459039813539619</v>
      </c>
      <c r="Q319" s="10">
        <v>37.897211717681095</v>
      </c>
      <c r="R319" s="3">
        <f t="shared" si="12"/>
        <v>1342649302973.5728</v>
      </c>
      <c r="S319" s="2">
        <f t="shared" si="13"/>
        <v>0.10024240718504683</v>
      </c>
      <c r="T319" s="11">
        <f t="shared" si="14"/>
        <v>1.0024240718504683E-3</v>
      </c>
    </row>
    <row r="320" spans="1:20" x14ac:dyDescent="0.3">
      <c r="A320" t="s">
        <v>48</v>
      </c>
      <c r="B320" s="3">
        <v>88</v>
      </c>
      <c r="C320">
        <v>2018</v>
      </c>
      <c r="D320" s="2">
        <v>1522.2329744131325</v>
      </c>
      <c r="E320" s="2">
        <v>1370.9891110108399</v>
      </c>
      <c r="F320" s="11">
        <v>0.60855964519768646</v>
      </c>
      <c r="G320" s="5">
        <v>0.21609999999999999</v>
      </c>
      <c r="H320">
        <v>0.504</v>
      </c>
      <c r="J320" s="3">
        <v>34119149409</v>
      </c>
      <c r="K320" s="3">
        <v>36789291650.869446</v>
      </c>
      <c r="L320" s="6">
        <v>91988</v>
      </c>
      <c r="M320" s="9">
        <v>1082214300</v>
      </c>
      <c r="N320" s="3">
        <v>1166907680.9089313</v>
      </c>
      <c r="O320">
        <v>61280</v>
      </c>
      <c r="P320" s="10">
        <v>1.1669076809089312</v>
      </c>
      <c r="Q320" s="10">
        <v>36.789291650869444</v>
      </c>
      <c r="R320" s="3">
        <f t="shared" si="12"/>
        <v>1370989111010.8398</v>
      </c>
      <c r="S320" s="2">
        <f t="shared" si="13"/>
        <v>8.5114292413931869E-2</v>
      </c>
      <c r="T320" s="11">
        <f t="shared" si="14"/>
        <v>8.5114292413931872E-4</v>
      </c>
    </row>
    <row r="321" spans="1:20" x14ac:dyDescent="0.3">
      <c r="A321" t="s">
        <v>49</v>
      </c>
      <c r="B321" s="3">
        <v>70</v>
      </c>
      <c r="C321">
        <v>2008</v>
      </c>
      <c r="D321" s="2">
        <v>3485.8484008797964</v>
      </c>
      <c r="E321" s="2">
        <v>4909.8952452421445</v>
      </c>
      <c r="F321" s="11">
        <v>0.57529788078855415</v>
      </c>
      <c r="G321" s="5">
        <v>0.17249999999999999</v>
      </c>
      <c r="H321">
        <v>0.55500000000000005</v>
      </c>
      <c r="I321" s="4">
        <v>0.53600000000000003</v>
      </c>
      <c r="J321" s="3">
        <v>221366593505</v>
      </c>
      <c r="K321" s="3">
        <v>357831834036.0976</v>
      </c>
      <c r="L321" s="3">
        <v>73916</v>
      </c>
      <c r="M321" s="3">
        <v>46136221000</v>
      </c>
      <c r="N321" s="3">
        <v>74577687240.562927</v>
      </c>
      <c r="O321" s="3">
        <v>809414</v>
      </c>
      <c r="P321" s="10">
        <v>74.577687240562923</v>
      </c>
      <c r="Q321" s="10">
        <v>357.83183403609758</v>
      </c>
      <c r="R321" s="3">
        <f t="shared" si="12"/>
        <v>4909895245242.1445</v>
      </c>
      <c r="S321" s="2">
        <f t="shared" si="13"/>
        <v>1.5189262400828458</v>
      </c>
      <c r="T321" s="11">
        <f t="shared" si="14"/>
        <v>1.5189262400828457E-2</v>
      </c>
    </row>
    <row r="322" spans="1:20" x14ac:dyDescent="0.3">
      <c r="A322" t="s">
        <v>49</v>
      </c>
      <c r="B322" s="3">
        <v>70</v>
      </c>
      <c r="C322">
        <v>2009</v>
      </c>
      <c r="D322" s="2">
        <v>3878.94226442949</v>
      </c>
      <c r="E322" s="2">
        <v>5199.4491567403265</v>
      </c>
      <c r="F322" s="11">
        <v>0.5556522363110078</v>
      </c>
      <c r="G322" s="5">
        <v>0.1641</v>
      </c>
      <c r="H322">
        <v>0.54400000000000004</v>
      </c>
      <c r="I322" s="4">
        <v>0.51900000000000002</v>
      </c>
      <c r="J322" s="3">
        <v>255509030888</v>
      </c>
      <c r="K322" s="3">
        <v>391498066277.71106</v>
      </c>
      <c r="L322" s="3">
        <v>97418</v>
      </c>
      <c r="M322" s="3">
        <v>54941315000</v>
      </c>
      <c r="N322" s="3">
        <v>84182615802.269058</v>
      </c>
      <c r="O322" s="3">
        <v>817937</v>
      </c>
      <c r="P322" s="10">
        <v>84.182615802269055</v>
      </c>
      <c r="Q322" s="10">
        <v>391.49806627771108</v>
      </c>
      <c r="R322" s="3">
        <f t="shared" si="12"/>
        <v>5199449156740.3262</v>
      </c>
      <c r="S322" s="2">
        <f t="shared" si="13"/>
        <v>1.6190679678661459</v>
      </c>
      <c r="T322" s="11">
        <f t="shared" si="14"/>
        <v>1.619067967866146E-2</v>
      </c>
    </row>
    <row r="323" spans="1:20" x14ac:dyDescent="0.3">
      <c r="A323" t="s">
        <v>49</v>
      </c>
      <c r="B323" s="3">
        <v>70</v>
      </c>
      <c r="C323">
        <v>2010</v>
      </c>
      <c r="D323" s="2">
        <v>4011.2231162617363</v>
      </c>
      <c r="E323" s="2">
        <v>5205.7097818538005</v>
      </c>
      <c r="F323" s="11">
        <v>0.77031983372514234</v>
      </c>
      <c r="G323" s="5">
        <v>0.17010000000000003</v>
      </c>
      <c r="H323">
        <v>0.54700000000000004</v>
      </c>
      <c r="I323" s="4">
        <v>0.53600000000000003</v>
      </c>
      <c r="J323" s="3">
        <v>267638514011</v>
      </c>
      <c r="K323" s="3">
        <v>391115022258.64337</v>
      </c>
      <c r="L323" s="3">
        <v>94085</v>
      </c>
      <c r="M323" s="3">
        <v>63331075000</v>
      </c>
      <c r="N323" s="3">
        <v>92549216617.122482</v>
      </c>
      <c r="O323" s="3">
        <v>826411</v>
      </c>
      <c r="P323" s="10">
        <v>92.549216617122482</v>
      </c>
      <c r="Q323" s="10">
        <v>391.11502225864336</v>
      </c>
      <c r="R323" s="3">
        <f t="shared" ref="R323:R353" si="15">E323*1000000000</f>
        <v>5205709781853.8008</v>
      </c>
      <c r="S323" s="2">
        <f t="shared" ref="S323:S353" si="16">(N323/R323)*100</f>
        <v>1.7778404962130807</v>
      </c>
      <c r="T323" s="11">
        <f t="shared" ref="T323:T353" si="17">S323/100</f>
        <v>1.7778404962130807E-2</v>
      </c>
    </row>
    <row r="324" spans="1:20" x14ac:dyDescent="0.3">
      <c r="A324" t="s">
        <v>49</v>
      </c>
      <c r="B324" s="3">
        <v>70</v>
      </c>
      <c r="C324">
        <v>2011</v>
      </c>
      <c r="D324" s="2">
        <v>4472.5894497727604</v>
      </c>
      <c r="E324" s="2">
        <v>5553.1744756516191</v>
      </c>
      <c r="F324" s="11">
        <v>0.69345645996376892</v>
      </c>
      <c r="G324" s="5">
        <v>0.20679999999999998</v>
      </c>
      <c r="H324">
        <v>0.53500000000000003</v>
      </c>
      <c r="I324" s="4">
        <v>0.51</v>
      </c>
      <c r="J324" s="3">
        <v>296281408711</v>
      </c>
      <c r="K324" s="3">
        <v>414396097992.2829</v>
      </c>
      <c r="L324" s="3">
        <v>87496</v>
      </c>
      <c r="M324" s="3">
        <v>52340240000</v>
      </c>
      <c r="N324" s="3">
        <v>73206048662.797318</v>
      </c>
      <c r="O324" s="3">
        <v>834736</v>
      </c>
      <c r="P324" s="10">
        <v>73.206048662797315</v>
      </c>
      <c r="Q324" s="10">
        <v>414.39609799228288</v>
      </c>
      <c r="R324" s="3">
        <f t="shared" si="15"/>
        <v>5553174475651.6191</v>
      </c>
      <c r="S324" s="2">
        <f t="shared" si="16"/>
        <v>1.3182738807104957</v>
      </c>
      <c r="T324" s="11">
        <f t="shared" si="17"/>
        <v>1.3182738807104957E-2</v>
      </c>
    </row>
    <row r="325" spans="1:20" x14ac:dyDescent="0.3">
      <c r="A325" t="s">
        <v>49</v>
      </c>
      <c r="B325" s="3">
        <v>70</v>
      </c>
      <c r="C325">
        <v>2012</v>
      </c>
      <c r="D325" s="2">
        <v>4994.4692896954057</v>
      </c>
      <c r="E325" s="2">
        <v>5855.249637376749</v>
      </c>
      <c r="F325" s="11">
        <v>0.76341911330946999</v>
      </c>
      <c r="G325" s="5">
        <v>0.19210000000000002</v>
      </c>
      <c r="H325">
        <v>0.52700000000000002</v>
      </c>
      <c r="I325" s="4">
        <v>0.48299999999999998</v>
      </c>
      <c r="J325" s="3">
        <v>304845204722</v>
      </c>
      <c r="K325" s="3">
        <v>403418495319.62744</v>
      </c>
      <c r="L325" s="3">
        <v>77393</v>
      </c>
      <c r="M325" s="3">
        <v>42670040000</v>
      </c>
      <c r="N325" s="3">
        <v>56467620501.77668</v>
      </c>
      <c r="O325" s="3">
        <v>842950</v>
      </c>
      <c r="P325" s="10">
        <v>56.467620501776679</v>
      </c>
      <c r="Q325" s="10">
        <v>403.41849531962743</v>
      </c>
      <c r="R325" s="3">
        <f t="shared" si="15"/>
        <v>5855249637376.749</v>
      </c>
      <c r="S325" s="2">
        <f t="shared" si="16"/>
        <v>0.96439304895418831</v>
      </c>
      <c r="T325" s="11">
        <f t="shared" si="17"/>
        <v>9.6439304895418829E-3</v>
      </c>
    </row>
    <row r="326" spans="1:20" x14ac:dyDescent="0.3">
      <c r="A326" t="s">
        <v>49</v>
      </c>
      <c r="B326" s="3">
        <v>70</v>
      </c>
      <c r="C326">
        <v>2013</v>
      </c>
      <c r="D326" s="2">
        <v>5480.3081412181937</v>
      </c>
      <c r="E326" s="2">
        <v>6133.847454926351</v>
      </c>
      <c r="F326" s="11">
        <v>0.77538101387463387</v>
      </c>
      <c r="G326" s="5">
        <v>0.2165</v>
      </c>
      <c r="H326">
        <v>0.52800000000000002</v>
      </c>
      <c r="I326" s="4">
        <v>0.46899999999999997</v>
      </c>
      <c r="J326" s="3">
        <v>347924611757</v>
      </c>
      <c r="K326" s="3">
        <v>427599347849.35303</v>
      </c>
      <c r="L326" s="3">
        <v>93901</v>
      </c>
      <c r="M326" s="3">
        <v>69925405000</v>
      </c>
      <c r="N326" s="3">
        <v>85938322745</v>
      </c>
      <c r="O326" s="3">
        <v>851157</v>
      </c>
      <c r="P326" s="10">
        <v>85.938322744999994</v>
      </c>
      <c r="Q326" s="10">
        <v>427.59934784935302</v>
      </c>
      <c r="R326" s="3">
        <f t="shared" si="15"/>
        <v>6133847454926.3506</v>
      </c>
      <c r="S326" s="2">
        <f t="shared" si="16"/>
        <v>1.4010508636953356</v>
      </c>
      <c r="T326" s="11">
        <f t="shared" si="17"/>
        <v>1.4010508636953356E-2</v>
      </c>
    </row>
    <row r="327" spans="1:20" x14ac:dyDescent="0.3">
      <c r="A327" t="s">
        <v>49</v>
      </c>
      <c r="B327" s="3">
        <v>70</v>
      </c>
      <c r="C327">
        <v>2014</v>
      </c>
      <c r="D327" s="2">
        <v>6088.7796415253706</v>
      </c>
      <c r="E327" s="2">
        <v>6468.790898497221</v>
      </c>
      <c r="F327" s="11">
        <v>0.80133893972436521</v>
      </c>
      <c r="G327" s="5">
        <v>0.2409</v>
      </c>
      <c r="H327">
        <v>0.52700000000000002</v>
      </c>
      <c r="I327" s="4">
        <v>0.47499999999999998</v>
      </c>
      <c r="J327" s="3">
        <v>350113249911</v>
      </c>
      <c r="K327" s="3">
        <v>421852141314.33234</v>
      </c>
      <c r="L327" s="3">
        <v>95644</v>
      </c>
      <c r="M327" s="3">
        <v>78300091000</v>
      </c>
      <c r="N327" s="3">
        <v>94343933175.490189</v>
      </c>
      <c r="O327" s="3">
        <v>859324</v>
      </c>
      <c r="P327" s="10">
        <v>94.343933175490193</v>
      </c>
      <c r="Q327" s="10">
        <v>421.85214131433236</v>
      </c>
      <c r="R327" s="3">
        <f t="shared" si="15"/>
        <v>6468790898497.2207</v>
      </c>
      <c r="S327" s="2">
        <f t="shared" si="16"/>
        <v>1.4584477169822794</v>
      </c>
      <c r="T327" s="11">
        <f t="shared" si="17"/>
        <v>1.4584477169822793E-2</v>
      </c>
    </row>
    <row r="328" spans="1:20" x14ac:dyDescent="0.3">
      <c r="A328" t="s">
        <v>49</v>
      </c>
      <c r="B328" s="3">
        <v>70</v>
      </c>
      <c r="C328">
        <v>2015</v>
      </c>
      <c r="D328" s="2">
        <v>6577.3212798815257</v>
      </c>
      <c r="E328" s="2">
        <v>6577.3212798815257</v>
      </c>
      <c r="F328" s="11">
        <v>0.79100590233481471</v>
      </c>
      <c r="G328" s="5">
        <v>0.24230000000000002</v>
      </c>
      <c r="H328">
        <v>0.51100000000000001</v>
      </c>
      <c r="I328" s="4">
        <v>0.47</v>
      </c>
      <c r="J328" s="3">
        <v>354263021552</v>
      </c>
      <c r="K328" s="3">
        <v>413710807190.61957</v>
      </c>
      <c r="L328" s="3">
        <v>92576</v>
      </c>
      <c r="M328" s="3">
        <v>76525143050</v>
      </c>
      <c r="N328" s="3">
        <v>89366591418.139496</v>
      </c>
      <c r="O328" s="3">
        <v>867701</v>
      </c>
      <c r="P328" s="10">
        <v>89.366591418139492</v>
      </c>
      <c r="Q328" s="10">
        <v>413.71080719061956</v>
      </c>
      <c r="R328" s="3">
        <f t="shared" si="15"/>
        <v>6577321279881.5254</v>
      </c>
      <c r="S328" s="2">
        <f t="shared" si="16"/>
        <v>1.3587080152446076</v>
      </c>
      <c r="T328" s="11">
        <f t="shared" si="17"/>
        <v>1.3587080152446076E-2</v>
      </c>
    </row>
    <row r="329" spans="1:20" x14ac:dyDescent="0.3">
      <c r="A329" t="s">
        <v>49</v>
      </c>
      <c r="B329" s="3">
        <v>70</v>
      </c>
      <c r="C329">
        <v>2016</v>
      </c>
      <c r="D329" s="2">
        <v>7186.3376211966597</v>
      </c>
      <c r="E329" s="2">
        <v>6807.1485346318532</v>
      </c>
      <c r="F329" s="11">
        <v>0.79989999999999994</v>
      </c>
      <c r="G329" s="5">
        <v>0.26800000000000002</v>
      </c>
      <c r="H329">
        <v>0.50800000000000001</v>
      </c>
      <c r="I329" s="4">
        <v>0.46600000000000003</v>
      </c>
      <c r="J329" s="3">
        <v>398629851909</v>
      </c>
      <c r="K329" s="3">
        <v>448805503844.04645</v>
      </c>
      <c r="L329" s="3">
        <v>91491</v>
      </c>
      <c r="M329" s="3">
        <v>78966101750</v>
      </c>
      <c r="N329" s="3">
        <v>88905587257.924164</v>
      </c>
      <c r="O329" s="3">
        <v>877397</v>
      </c>
      <c r="P329" s="10">
        <v>88.905587257924168</v>
      </c>
      <c r="Q329" s="10">
        <v>448.80550384404643</v>
      </c>
      <c r="R329" s="3">
        <f t="shared" si="15"/>
        <v>6807148534631.8535</v>
      </c>
      <c r="S329" s="2">
        <f t="shared" si="16"/>
        <v>1.3060621022974692</v>
      </c>
      <c r="T329" s="11">
        <f t="shared" si="17"/>
        <v>1.3060621022974693E-2</v>
      </c>
    </row>
    <row r="330" spans="1:20" x14ac:dyDescent="0.3">
      <c r="A330" t="s">
        <v>49</v>
      </c>
      <c r="B330" s="3">
        <v>70</v>
      </c>
      <c r="C330">
        <v>2017</v>
      </c>
      <c r="D330" s="2">
        <v>7702.08730372015</v>
      </c>
      <c r="E330" s="2">
        <v>6981.9112529649092</v>
      </c>
      <c r="F330" s="11">
        <v>0.76135069821230605</v>
      </c>
      <c r="G330" s="5">
        <v>0.3014</v>
      </c>
      <c r="H330">
        <v>0.49700000000000005</v>
      </c>
      <c r="I330" s="4">
        <v>0.45700000000000002</v>
      </c>
      <c r="J330" s="3">
        <v>435152061526</v>
      </c>
      <c r="K330" s="3">
        <v>478270330545.03137</v>
      </c>
      <c r="L330" s="3">
        <v>92627</v>
      </c>
      <c r="M330" s="3">
        <v>75104558000</v>
      </c>
      <c r="N330" s="3">
        <v>82546504902.521912</v>
      </c>
      <c r="O330" s="3">
        <v>888638</v>
      </c>
      <c r="P330" s="10">
        <v>82.546504902521917</v>
      </c>
      <c r="Q330" s="10">
        <v>478.27033054503136</v>
      </c>
      <c r="R330" s="3">
        <f t="shared" si="15"/>
        <v>6981911252964.9092</v>
      </c>
      <c r="S330" s="2">
        <f t="shared" si="16"/>
        <v>1.1822909503106054</v>
      </c>
      <c r="T330" s="11">
        <f t="shared" si="17"/>
        <v>1.1822909503106055E-2</v>
      </c>
    </row>
    <row r="331" spans="1:20" x14ac:dyDescent="0.3">
      <c r="A331" t="s">
        <v>49</v>
      </c>
      <c r="B331" s="3">
        <v>70</v>
      </c>
      <c r="C331">
        <v>2018</v>
      </c>
      <c r="D331" s="2">
        <v>8136.1942106956503</v>
      </c>
      <c r="E331" s="2">
        <v>7128.3116259155622</v>
      </c>
      <c r="F331" s="11">
        <v>0.74552846705953013</v>
      </c>
      <c r="G331" s="5">
        <v>0.28239999999999998</v>
      </c>
      <c r="H331">
        <v>0.504</v>
      </c>
      <c r="I331" s="4">
        <v>0.46100000000000002</v>
      </c>
      <c r="J331" s="3">
        <v>429334272302</v>
      </c>
      <c r="K331" s="3">
        <v>462933690699.38403</v>
      </c>
      <c r="L331" s="3">
        <v>89786</v>
      </c>
      <c r="M331" s="3">
        <v>74125134800</v>
      </c>
      <c r="N331" s="3">
        <v>79926119204.421814</v>
      </c>
      <c r="O331" s="3">
        <v>904863</v>
      </c>
      <c r="P331" s="10">
        <v>79.926119204421809</v>
      </c>
      <c r="Q331" s="10">
        <v>462.93369069938404</v>
      </c>
      <c r="R331" s="3">
        <f t="shared" si="15"/>
        <v>7128311625915.5625</v>
      </c>
      <c r="S331" s="2">
        <f t="shared" si="16"/>
        <v>1.1212489492440798</v>
      </c>
      <c r="T331" s="11">
        <f t="shared" si="17"/>
        <v>1.1212489492440797E-2</v>
      </c>
    </row>
    <row r="332" spans="1:20" x14ac:dyDescent="0.3">
      <c r="A332" t="s">
        <v>50</v>
      </c>
      <c r="B332" s="3">
        <v>97</v>
      </c>
      <c r="C332">
        <v>2008</v>
      </c>
      <c r="D332" s="2">
        <v>112.49334396031966</v>
      </c>
      <c r="E332" s="2">
        <v>177.9278755825772</v>
      </c>
      <c r="F332" s="11">
        <v>0.60921271534588906</v>
      </c>
      <c r="G332" s="5">
        <v>5.3899999999999997E-2</v>
      </c>
      <c r="H332">
        <v>0.55500000000000005</v>
      </c>
      <c r="I332" s="1"/>
      <c r="J332">
        <v>25548995270</v>
      </c>
      <c r="K332">
        <v>41299112438.287514</v>
      </c>
      <c r="L332" s="6">
        <v>342</v>
      </c>
      <c r="M332" s="9">
        <v>203520000</v>
      </c>
      <c r="N332" s="9">
        <v>328983401.28896487</v>
      </c>
      <c r="O332">
        <v>29123</v>
      </c>
      <c r="P332" s="10">
        <v>0.32898340128896486</v>
      </c>
      <c r="Q332" s="10">
        <v>41.299112438287516</v>
      </c>
      <c r="R332" s="3">
        <f t="shared" si="15"/>
        <v>177927875582.57721</v>
      </c>
      <c r="S332" s="2">
        <f t="shared" si="16"/>
        <v>0.1848970546137286</v>
      </c>
      <c r="T332" s="11">
        <f t="shared" si="17"/>
        <v>1.8489705461372859E-3</v>
      </c>
    </row>
    <row r="333" spans="1:20" x14ac:dyDescent="0.3">
      <c r="A333" t="s">
        <v>50</v>
      </c>
      <c r="B333" s="3">
        <v>97</v>
      </c>
      <c r="C333">
        <v>2009</v>
      </c>
      <c r="D333" s="2">
        <v>123.47162409854303</v>
      </c>
      <c r="E333" s="2">
        <v>184.17095893635187</v>
      </c>
      <c r="F333" s="11">
        <v>0.51918307625198201</v>
      </c>
      <c r="G333" s="5">
        <v>8.5500000000000007E-2</v>
      </c>
      <c r="H333">
        <v>0.54400000000000004</v>
      </c>
      <c r="J333">
        <v>24479146059</v>
      </c>
      <c r="K333">
        <v>37507630602.806389</v>
      </c>
      <c r="L333" s="6">
        <v>553</v>
      </c>
      <c r="M333" s="9">
        <v>342730000</v>
      </c>
      <c r="N333">
        <v>525140468.76948017</v>
      </c>
      <c r="O333">
        <v>30394</v>
      </c>
      <c r="P333" s="10">
        <v>0.52514046876948017</v>
      </c>
      <c r="Q333" s="10">
        <v>37.507630602806387</v>
      </c>
      <c r="R333" s="3">
        <f t="shared" si="15"/>
        <v>184170958936.35187</v>
      </c>
      <c r="S333" s="2">
        <f t="shared" si="16"/>
        <v>0.28513750039764135</v>
      </c>
      <c r="T333" s="11">
        <f t="shared" si="17"/>
        <v>2.8513750039764136E-3</v>
      </c>
    </row>
    <row r="334" spans="1:20" x14ac:dyDescent="0.3">
      <c r="A334" t="s">
        <v>50</v>
      </c>
      <c r="B334" s="3">
        <v>97</v>
      </c>
      <c r="C334">
        <v>2010</v>
      </c>
      <c r="D334" s="2">
        <v>129.99350403576764</v>
      </c>
      <c r="E334" s="2">
        <v>190.4140422901265</v>
      </c>
      <c r="F334" s="11">
        <v>0.55873666313042636</v>
      </c>
      <c r="G334" s="5">
        <v>4.1700000000000001E-2</v>
      </c>
      <c r="H334">
        <v>0.54700000000000004</v>
      </c>
      <c r="J334">
        <v>26216594662</v>
      </c>
      <c r="K334">
        <v>38311765564.325806</v>
      </c>
      <c r="L334" s="6">
        <v>490</v>
      </c>
      <c r="M334" s="9">
        <v>373820000</v>
      </c>
      <c r="N334">
        <v>546283923.90011895</v>
      </c>
      <c r="O334">
        <v>31677</v>
      </c>
      <c r="P334" s="10">
        <v>0.54628392390011893</v>
      </c>
      <c r="Q334" s="10">
        <v>38.311765564325803</v>
      </c>
      <c r="R334" s="3">
        <f t="shared" si="15"/>
        <v>190414042290.1265</v>
      </c>
      <c r="S334" s="2">
        <f t="shared" si="16"/>
        <v>0.28689266680645709</v>
      </c>
      <c r="T334" s="11">
        <f t="shared" si="17"/>
        <v>2.8689266680645711E-3</v>
      </c>
    </row>
    <row r="335" spans="1:20" x14ac:dyDescent="0.3">
      <c r="A335" t="s">
        <v>50</v>
      </c>
      <c r="B335" s="3">
        <v>97</v>
      </c>
      <c r="C335">
        <v>2011</v>
      </c>
      <c r="D335" s="2">
        <v>149.20478202363998</v>
      </c>
      <c r="E335" s="2">
        <v>201.33943815923212</v>
      </c>
      <c r="F335" s="11">
        <v>0.56200474711506065</v>
      </c>
      <c r="G335" s="5">
        <v>4.9000000000000002E-2</v>
      </c>
      <c r="H335">
        <v>0.53500000000000003</v>
      </c>
      <c r="J335">
        <v>32386023465</v>
      </c>
      <c r="K335">
        <v>45296941889.706383</v>
      </c>
      <c r="L335" s="6">
        <v>410</v>
      </c>
      <c r="M335" s="9">
        <v>273300000</v>
      </c>
      <c r="N335">
        <v>382252987.36770231</v>
      </c>
      <c r="O335">
        <v>32940</v>
      </c>
      <c r="P335" s="10">
        <v>0.3822529873677023</v>
      </c>
      <c r="Q335" s="10">
        <v>45.296941889706382</v>
      </c>
      <c r="R335" s="3">
        <f t="shared" si="15"/>
        <v>201339438159.23212</v>
      </c>
      <c r="S335" s="2">
        <f t="shared" si="16"/>
        <v>0.18985499853505708</v>
      </c>
      <c r="T335" s="11">
        <f t="shared" si="17"/>
        <v>1.8985499853505707E-3</v>
      </c>
    </row>
    <row r="336" spans="1:20" x14ac:dyDescent="0.3">
      <c r="A336" t="s">
        <v>50</v>
      </c>
      <c r="B336" s="3">
        <v>97</v>
      </c>
      <c r="C336">
        <v>2012</v>
      </c>
      <c r="D336" s="2">
        <v>164.07834850537233</v>
      </c>
      <c r="E336" s="2">
        <v>201.33943815923212</v>
      </c>
      <c r="F336" s="11">
        <v>0.54748685733669755</v>
      </c>
      <c r="G336" s="5">
        <v>6.2600000000000003E-2</v>
      </c>
      <c r="H336">
        <v>0.52700000000000002</v>
      </c>
      <c r="J336">
        <v>29059095358</v>
      </c>
      <c r="K336">
        <v>38455505755.33757</v>
      </c>
      <c r="L336" s="6">
        <v>384</v>
      </c>
      <c r="M336" s="9">
        <v>238440000</v>
      </c>
      <c r="N336">
        <v>315540820.5017767</v>
      </c>
      <c r="O336">
        <v>34165</v>
      </c>
      <c r="P336" s="10">
        <v>0.31554082050177668</v>
      </c>
      <c r="Q336" s="10">
        <v>38.455505755337569</v>
      </c>
      <c r="R336" s="3">
        <f t="shared" si="15"/>
        <v>201339438159.23212</v>
      </c>
      <c r="S336" s="2">
        <f>(N336/R336)*100</f>
        <v>0.15672082101084778</v>
      </c>
      <c r="T336" s="11">
        <f t="shared" si="17"/>
        <v>1.5672082101084778E-3</v>
      </c>
    </row>
    <row r="337" spans="1:20" x14ac:dyDescent="0.3">
      <c r="A337" t="s">
        <v>50</v>
      </c>
      <c r="B337" s="3">
        <v>97</v>
      </c>
      <c r="C337">
        <v>2013</v>
      </c>
      <c r="D337" s="2">
        <v>190.12726364908463</v>
      </c>
      <c r="E337" s="2">
        <v>216.94714654366871</v>
      </c>
      <c r="F337" s="11">
        <v>0.59742118745161754</v>
      </c>
      <c r="G337" s="5">
        <v>7.6999999999999999E-2</v>
      </c>
      <c r="H337">
        <v>0.52800000000000002</v>
      </c>
      <c r="J337">
        <v>33987545404</v>
      </c>
      <c r="K337">
        <v>41770693301.516006</v>
      </c>
      <c r="L337" s="6">
        <v>820</v>
      </c>
      <c r="M337" s="9">
        <v>652075000</v>
      </c>
      <c r="N337">
        <v>801400175.00000012</v>
      </c>
      <c r="O337">
        <v>35353</v>
      </c>
      <c r="P337" s="10">
        <v>0.80140017500000016</v>
      </c>
      <c r="Q337" s="10">
        <v>41.770693301516005</v>
      </c>
      <c r="R337" s="3">
        <f t="shared" si="15"/>
        <v>216947146543.6687</v>
      </c>
      <c r="S337" s="2">
        <f t="shared" si="16"/>
        <v>0.36939880877331033</v>
      </c>
      <c r="T337" s="11">
        <f t="shared" si="17"/>
        <v>3.6939880877331034E-3</v>
      </c>
    </row>
    <row r="338" spans="1:20" x14ac:dyDescent="0.3">
      <c r="A338" t="s">
        <v>50</v>
      </c>
      <c r="B338" s="3">
        <v>97</v>
      </c>
      <c r="C338">
        <v>2014</v>
      </c>
      <c r="D338" s="2">
        <v>217.64220896081267</v>
      </c>
      <c r="E338" s="2">
        <v>224.751000735887</v>
      </c>
      <c r="F338" s="11">
        <v>0.58840342843488713</v>
      </c>
      <c r="G338" s="5">
        <v>3.0899999999999997E-2</v>
      </c>
      <c r="H338">
        <v>0.52700000000000002</v>
      </c>
      <c r="J338">
        <v>36022041556</v>
      </c>
      <c r="K338">
        <v>43403028502.278427</v>
      </c>
      <c r="L338" s="6">
        <v>863</v>
      </c>
      <c r="M338" s="9">
        <v>766755400</v>
      </c>
      <c r="N338">
        <v>923865084.90196073</v>
      </c>
      <c r="O338">
        <v>36509</v>
      </c>
      <c r="P338" s="10">
        <v>0.92386508490196073</v>
      </c>
      <c r="Q338" s="10">
        <v>43.403028502278424</v>
      </c>
      <c r="R338" s="3">
        <f t="shared" si="15"/>
        <v>224751000735.88699</v>
      </c>
      <c r="S338" s="2">
        <f t="shared" si="16"/>
        <v>0.41106161123955476</v>
      </c>
      <c r="T338" s="11">
        <f t="shared" si="17"/>
        <v>4.1106161123955478E-3</v>
      </c>
    </row>
    <row r="339" spans="1:20" x14ac:dyDescent="0.3">
      <c r="A339" t="s">
        <v>50</v>
      </c>
      <c r="B339" s="3">
        <v>97</v>
      </c>
      <c r="C339">
        <v>2015</v>
      </c>
      <c r="D339" s="2">
        <v>233.44163394143024</v>
      </c>
      <c r="E339" s="2">
        <v>233.44163394143024</v>
      </c>
      <c r="F339" s="11">
        <v>0.62427025277455384</v>
      </c>
      <c r="G339" s="5">
        <v>4.1700000000000001E-2</v>
      </c>
      <c r="H339">
        <v>0.51100000000000001</v>
      </c>
      <c r="J339">
        <v>45716532870</v>
      </c>
      <c r="K339">
        <v>53388083330.701256</v>
      </c>
      <c r="L339" s="6">
        <v>1092</v>
      </c>
      <c r="M339" s="9">
        <v>978381750</v>
      </c>
      <c r="N339">
        <v>1142560975.6271379</v>
      </c>
      <c r="O339">
        <v>37638</v>
      </c>
      <c r="P339" s="10">
        <v>1.142560975627138</v>
      </c>
      <c r="Q339" s="10">
        <v>53.388083330701257</v>
      </c>
      <c r="R339" s="3">
        <f t="shared" si="15"/>
        <v>233441633941.43024</v>
      </c>
      <c r="S339" s="2">
        <f t="shared" si="16"/>
        <v>0.4894418173554263</v>
      </c>
      <c r="T339" s="11">
        <f t="shared" si="17"/>
        <v>4.8944181735542632E-3</v>
      </c>
    </row>
    <row r="340" spans="1:20" x14ac:dyDescent="0.3">
      <c r="A340" t="s">
        <v>50</v>
      </c>
      <c r="B340" s="3">
        <v>97</v>
      </c>
      <c r="C340">
        <v>2016</v>
      </c>
      <c r="D340" s="2">
        <v>250.55171409756724</v>
      </c>
      <c r="E340" s="2">
        <v>235.65297705515596</v>
      </c>
      <c r="F340" s="11">
        <v>0.64800000000000002</v>
      </c>
      <c r="G340" s="5">
        <v>4.5400000000000003E-2</v>
      </c>
      <c r="H340">
        <v>0.50800000000000001</v>
      </c>
      <c r="J340">
        <v>46886066493.1605</v>
      </c>
      <c r="K340">
        <v>52787628911.77562</v>
      </c>
      <c r="L340" s="6">
        <v>1121</v>
      </c>
      <c r="M340" s="9">
        <v>1086179750</v>
      </c>
      <c r="N340">
        <v>1222897501.6031516</v>
      </c>
      <c r="O340">
        <v>38737</v>
      </c>
      <c r="P340" s="10">
        <v>1.2228975016031516</v>
      </c>
      <c r="Q340" s="10">
        <v>52.78762891177562</v>
      </c>
      <c r="R340" s="3">
        <f t="shared" si="15"/>
        <v>235652977055.15594</v>
      </c>
      <c r="S340" s="2">
        <f t="shared" si="16"/>
        <v>0.51893997558830984</v>
      </c>
      <c r="T340" s="11">
        <f t="shared" si="17"/>
        <v>5.1893997558830982E-3</v>
      </c>
    </row>
    <row r="341" spans="1:20" x14ac:dyDescent="0.3">
      <c r="A341" t="s">
        <v>50</v>
      </c>
      <c r="B341" s="3">
        <v>97</v>
      </c>
      <c r="C341">
        <v>2017</v>
      </c>
      <c r="D341" s="2">
        <v>263.08546842822318</v>
      </c>
      <c r="E341" s="2">
        <v>239.37998857742809</v>
      </c>
      <c r="F341" s="11">
        <v>0.66636089262849618</v>
      </c>
      <c r="G341" s="5">
        <v>4.4800000000000006E-2</v>
      </c>
      <c r="H341">
        <v>0.49700000000000005</v>
      </c>
      <c r="J341">
        <v>48716247803</v>
      </c>
      <c r="K341">
        <v>53543434582.263466</v>
      </c>
      <c r="L341" s="6">
        <v>1217</v>
      </c>
      <c r="M341" s="9">
        <v>1109630150</v>
      </c>
      <c r="N341">
        <v>1219580982.2482562</v>
      </c>
      <c r="O341">
        <v>39811</v>
      </c>
      <c r="P341" s="10">
        <v>1.2195809822482562</v>
      </c>
      <c r="Q341" s="10">
        <v>53.543434582263465</v>
      </c>
      <c r="R341" s="3">
        <f t="shared" si="15"/>
        <v>239379988577.4281</v>
      </c>
      <c r="S341" s="2">
        <f t="shared" si="16"/>
        <v>0.50947491036986969</v>
      </c>
      <c r="T341" s="11">
        <f t="shared" si="17"/>
        <v>5.0947491036986972E-3</v>
      </c>
    </row>
    <row r="342" spans="1:20" x14ac:dyDescent="0.3">
      <c r="A342" t="s">
        <v>50</v>
      </c>
      <c r="B342" s="3">
        <v>97</v>
      </c>
      <c r="C342">
        <v>2018</v>
      </c>
      <c r="D342" s="2">
        <v>282.18078485243291</v>
      </c>
      <c r="E342" s="2">
        <v>247.92835048330292</v>
      </c>
      <c r="F342" s="11">
        <v>0.65448921859456166</v>
      </c>
      <c r="G342" s="5">
        <v>3.5099999999999999E-2</v>
      </c>
      <c r="H342">
        <v>0.504</v>
      </c>
      <c r="J342">
        <v>48018958598</v>
      </c>
      <c r="K342">
        <v>51776890785.174591</v>
      </c>
      <c r="L342" s="6">
        <v>1193</v>
      </c>
      <c r="M342" s="9">
        <v>1052031400</v>
      </c>
      <c r="N342">
        <v>1134362686.962625</v>
      </c>
      <c r="O342">
        <v>40797</v>
      </c>
      <c r="P342" s="10">
        <v>1.1343626869626251</v>
      </c>
      <c r="Q342" s="10">
        <v>51.776890785174594</v>
      </c>
      <c r="R342" s="3">
        <f t="shared" si="15"/>
        <v>247928350483.30292</v>
      </c>
      <c r="S342" s="2">
        <f t="shared" si="16"/>
        <v>0.45753649582685396</v>
      </c>
      <c r="T342" s="11">
        <f t="shared" si="17"/>
        <v>4.5753649582685393E-3</v>
      </c>
    </row>
    <row r="343" spans="1:20" x14ac:dyDescent="0.3">
      <c r="A343" t="s">
        <v>51</v>
      </c>
      <c r="B343" s="3">
        <v>99</v>
      </c>
      <c r="C343">
        <v>2008</v>
      </c>
      <c r="D343" s="2">
        <v>367.15731315821887</v>
      </c>
      <c r="E343" s="2">
        <v>467.08027298960246</v>
      </c>
      <c r="F343" s="11">
        <v>0.61827185725465328</v>
      </c>
      <c r="G343" s="5">
        <v>0.10460000000000001</v>
      </c>
      <c r="H343">
        <v>0.55500000000000005</v>
      </c>
      <c r="I343" s="1"/>
      <c r="J343">
        <v>53204877559</v>
      </c>
      <c r="K343">
        <v>86003938603.197418</v>
      </c>
      <c r="L343" s="6">
        <v>1995</v>
      </c>
      <c r="M343" s="9">
        <v>1180109000</v>
      </c>
      <c r="N343" s="9">
        <v>1907607472.0505061</v>
      </c>
      <c r="O343">
        <v>84653</v>
      </c>
      <c r="P343" s="10">
        <v>1.9076074720505061</v>
      </c>
      <c r="Q343" s="10">
        <v>86.003938603197412</v>
      </c>
      <c r="R343" s="3">
        <f t="shared" si="15"/>
        <v>467080272989.60248</v>
      </c>
      <c r="S343" s="2">
        <f t="shared" si="16"/>
        <v>0.40841105530761102</v>
      </c>
      <c r="T343" s="11">
        <f t="shared" si="17"/>
        <v>4.0841105530761103E-3</v>
      </c>
    </row>
    <row r="344" spans="1:20" x14ac:dyDescent="0.3">
      <c r="A344" t="s">
        <v>51</v>
      </c>
      <c r="B344" s="3">
        <v>99</v>
      </c>
      <c r="C344">
        <v>2009</v>
      </c>
      <c r="D344" s="2">
        <v>381.91050887195922</v>
      </c>
      <c r="E344" s="2">
        <v>479.37185912090786</v>
      </c>
      <c r="F344" s="11">
        <v>0.57839251302665684</v>
      </c>
      <c r="G344" s="5">
        <v>0.10970000000000001</v>
      </c>
      <c r="H344">
        <v>0.54400000000000004</v>
      </c>
      <c r="J344">
        <v>48440365106</v>
      </c>
      <c r="K344">
        <v>74221678986.752289</v>
      </c>
      <c r="L344" s="6">
        <v>2591</v>
      </c>
      <c r="M344" s="9">
        <v>1666670000</v>
      </c>
      <c r="N344">
        <v>2553718277.0228152</v>
      </c>
      <c r="O344">
        <v>86991</v>
      </c>
      <c r="P344" s="10">
        <v>2.5537182770228153</v>
      </c>
      <c r="Q344" s="10">
        <v>74.221678986752295</v>
      </c>
      <c r="R344" s="3">
        <f t="shared" si="15"/>
        <v>479371859120.90784</v>
      </c>
      <c r="S344" s="2">
        <f t="shared" si="16"/>
        <v>0.53272177505495011</v>
      </c>
      <c r="T344" s="11">
        <f t="shared" si="17"/>
        <v>5.3272177505495014E-3</v>
      </c>
    </row>
    <row r="345" spans="1:20" x14ac:dyDescent="0.3">
      <c r="A345" t="s">
        <v>51</v>
      </c>
      <c r="B345" s="3">
        <v>99</v>
      </c>
      <c r="C345">
        <v>2010</v>
      </c>
      <c r="D345" s="2">
        <v>382.74656822064861</v>
      </c>
      <c r="E345" s="2">
        <v>482.88374087270938</v>
      </c>
      <c r="F345" s="11">
        <v>0.58686268808750996</v>
      </c>
      <c r="G345" s="5">
        <v>9.9100000000000008E-2</v>
      </c>
      <c r="H345">
        <v>0.54700000000000004</v>
      </c>
      <c r="J345">
        <v>52413184984</v>
      </c>
      <c r="K345">
        <v>76594297675.78598</v>
      </c>
      <c r="L345" s="6">
        <v>2346</v>
      </c>
      <c r="M345" s="9">
        <v>1671835000</v>
      </c>
      <c r="N345">
        <v>2443145321.0463738</v>
      </c>
      <c r="O345">
        <v>89314</v>
      </c>
      <c r="P345" s="10">
        <v>2.4431453210463738</v>
      </c>
      <c r="Q345" s="10">
        <v>76.594297675785981</v>
      </c>
      <c r="R345" s="3">
        <f t="shared" si="15"/>
        <v>482883740872.70941</v>
      </c>
      <c r="S345" s="2">
        <f t="shared" si="16"/>
        <v>0.50594897161600627</v>
      </c>
      <c r="T345" s="11">
        <f t="shared" si="17"/>
        <v>5.059489716160063E-3</v>
      </c>
    </row>
    <row r="346" spans="1:20" x14ac:dyDescent="0.3">
      <c r="A346" t="s">
        <v>51</v>
      </c>
      <c r="B346" s="3">
        <v>99</v>
      </c>
      <c r="C346">
        <v>2011</v>
      </c>
      <c r="D346" s="2">
        <v>401.0329865092873</v>
      </c>
      <c r="E346" s="2">
        <v>437.22927809928956</v>
      </c>
      <c r="F346" s="11">
        <v>0.60644555305735759</v>
      </c>
      <c r="G346" s="5">
        <v>8.0799999999999997E-2</v>
      </c>
      <c r="H346">
        <v>0.53500000000000003</v>
      </c>
      <c r="J346">
        <v>54045707557</v>
      </c>
      <c r="K346">
        <v>75591412982.306824</v>
      </c>
      <c r="L346" s="6">
        <v>1947</v>
      </c>
      <c r="M346" s="9">
        <v>1136925000</v>
      </c>
      <c r="N346">
        <v>1590168231.4783201</v>
      </c>
      <c r="O346">
        <v>91602</v>
      </c>
      <c r="P346" s="10">
        <v>1.5901682314783201</v>
      </c>
      <c r="Q346" s="10">
        <v>75.591412982306821</v>
      </c>
      <c r="R346" s="3">
        <f t="shared" si="15"/>
        <v>437229278099.28955</v>
      </c>
      <c r="S346" s="2">
        <f t="shared" si="16"/>
        <v>0.36369207441712353</v>
      </c>
      <c r="T346" s="11">
        <f t="shared" si="17"/>
        <v>3.6369207441712351E-3</v>
      </c>
    </row>
    <row r="347" spans="1:20" x14ac:dyDescent="0.3">
      <c r="A347" t="s">
        <v>51</v>
      </c>
      <c r="B347" s="3">
        <v>99</v>
      </c>
      <c r="C347">
        <v>2012</v>
      </c>
      <c r="D347" s="2">
        <v>435.40854554961766</v>
      </c>
      <c r="E347" s="2">
        <v>454.78868685829718</v>
      </c>
      <c r="F347" s="11">
        <v>0.6284175479087033</v>
      </c>
      <c r="G347" s="5">
        <v>0.114</v>
      </c>
      <c r="H347">
        <v>0.52700000000000002</v>
      </c>
      <c r="J347">
        <v>50373480872</v>
      </c>
      <c r="K347">
        <v>66662009251.306129</v>
      </c>
      <c r="L347" s="6">
        <v>1689</v>
      </c>
      <c r="M347" s="9">
        <v>909510000</v>
      </c>
      <c r="N347">
        <v>1203604813.1797135</v>
      </c>
      <c r="O347">
        <v>93849</v>
      </c>
      <c r="P347" s="10">
        <v>1.2036048131797135</v>
      </c>
      <c r="Q347" s="10">
        <v>66.662009251306131</v>
      </c>
      <c r="R347" s="3">
        <f t="shared" si="15"/>
        <v>454788686858.29718</v>
      </c>
      <c r="S347" s="2">
        <f t="shared" si="16"/>
        <v>0.26465144097894677</v>
      </c>
      <c r="T347" s="11">
        <f t="shared" si="17"/>
        <v>2.6465144097894675E-3</v>
      </c>
    </row>
    <row r="348" spans="1:20" x14ac:dyDescent="0.3">
      <c r="A348" t="s">
        <v>51</v>
      </c>
      <c r="B348" s="3">
        <v>99</v>
      </c>
      <c r="C348">
        <v>2013</v>
      </c>
      <c r="D348" s="2">
        <v>466.53812183639224</v>
      </c>
      <c r="E348" s="2">
        <v>488.15156350041167</v>
      </c>
      <c r="F348" s="11">
        <v>0.6494987963913208</v>
      </c>
      <c r="G348" s="5">
        <v>0.10050000000000001</v>
      </c>
      <c r="H348">
        <v>0.52800000000000002</v>
      </c>
      <c r="J348">
        <v>53048896476</v>
      </c>
      <c r="K348">
        <v>65197093769.004005</v>
      </c>
      <c r="L348" s="6">
        <v>2259</v>
      </c>
      <c r="M348" s="9">
        <v>1710730000</v>
      </c>
      <c r="N348">
        <v>2102487170.0000002</v>
      </c>
      <c r="O348">
        <v>96057</v>
      </c>
      <c r="P348" s="10">
        <v>2.1024871700000003</v>
      </c>
      <c r="Q348" s="10">
        <v>65.197093769003999</v>
      </c>
      <c r="R348" s="3">
        <f t="shared" si="15"/>
        <v>488151563500.41168</v>
      </c>
      <c r="S348" s="2">
        <f t="shared" si="16"/>
        <v>0.43070376645392577</v>
      </c>
      <c r="T348" s="11">
        <f t="shared" si="17"/>
        <v>4.3070376645392575E-3</v>
      </c>
    </row>
    <row r="349" spans="1:20" x14ac:dyDescent="0.3">
      <c r="A349" t="s">
        <v>51</v>
      </c>
      <c r="B349" s="3">
        <v>99</v>
      </c>
      <c r="C349">
        <v>2014</v>
      </c>
      <c r="D349" s="2">
        <v>464.99646943373568</v>
      </c>
      <c r="E349" s="2">
        <v>489.90750437631243</v>
      </c>
      <c r="F349" s="11">
        <v>0.69195322669114612</v>
      </c>
      <c r="G349" s="5">
        <v>8.3100000000000007E-2</v>
      </c>
      <c r="H349">
        <v>0.52700000000000002</v>
      </c>
      <c r="J349">
        <v>58072471886</v>
      </c>
      <c r="K349">
        <v>69971635243.033325</v>
      </c>
      <c r="L349" s="6">
        <v>2374</v>
      </c>
      <c r="M349" s="9">
        <v>1963059400</v>
      </c>
      <c r="N349">
        <v>2365294120.1960783</v>
      </c>
      <c r="O349">
        <v>98228</v>
      </c>
      <c r="P349" s="10">
        <v>2.3652941201960784</v>
      </c>
      <c r="Q349" s="10">
        <v>69.971635243033319</v>
      </c>
      <c r="R349" s="3">
        <f t="shared" si="15"/>
        <v>489907504376.31244</v>
      </c>
      <c r="S349" s="2">
        <f t="shared" si="16"/>
        <v>0.48280422305579257</v>
      </c>
      <c r="T349" s="11">
        <f t="shared" si="17"/>
        <v>4.8280422305579255E-3</v>
      </c>
    </row>
    <row r="350" spans="1:20" x14ac:dyDescent="0.3">
      <c r="A350" t="s">
        <v>51</v>
      </c>
      <c r="B350" s="3">
        <v>99</v>
      </c>
      <c r="C350">
        <v>2015</v>
      </c>
      <c r="D350" s="2">
        <v>529.2264341276009</v>
      </c>
      <c r="E350" s="2">
        <v>529.2264341276009</v>
      </c>
      <c r="F350" s="11">
        <v>0.69307636144859786</v>
      </c>
      <c r="G350" s="5">
        <v>9.1700000000000004E-2</v>
      </c>
      <c r="H350">
        <v>0.51100000000000001</v>
      </c>
      <c r="J350">
        <v>62978164842</v>
      </c>
      <c r="K350">
        <v>73546336555.319275</v>
      </c>
      <c r="L350" s="6">
        <v>2320</v>
      </c>
      <c r="M350" s="9">
        <v>2001439150</v>
      </c>
      <c r="N350">
        <v>2337294484.3690615</v>
      </c>
      <c r="O350">
        <v>100392</v>
      </c>
      <c r="P350" s="10">
        <v>2.3372944843690613</v>
      </c>
      <c r="Q350" s="10">
        <v>73.546336555319272</v>
      </c>
      <c r="R350" s="3">
        <f t="shared" si="15"/>
        <v>529226434127.60089</v>
      </c>
      <c r="S350" s="2">
        <f t="shared" si="16"/>
        <v>0.44164356382196895</v>
      </c>
      <c r="T350" s="11">
        <f t="shared" si="17"/>
        <v>4.4164356382196896E-3</v>
      </c>
    </row>
    <row r="351" spans="1:20" x14ac:dyDescent="0.3">
      <c r="A351" t="s">
        <v>51</v>
      </c>
      <c r="B351" s="3">
        <v>99</v>
      </c>
      <c r="C351">
        <v>2016</v>
      </c>
      <c r="D351" s="2">
        <v>573.52710684267447</v>
      </c>
      <c r="E351" s="2">
        <v>528.6788936309656</v>
      </c>
      <c r="F351" s="11">
        <v>0.70700000000000007</v>
      </c>
      <c r="G351" s="5">
        <v>0.1149</v>
      </c>
      <c r="H351">
        <v>0.50800000000000001</v>
      </c>
      <c r="J351">
        <v>69338317267.025101</v>
      </c>
      <c r="K351">
        <v>78065950825.553192</v>
      </c>
      <c r="L351" s="6">
        <v>2314</v>
      </c>
      <c r="M351" s="9">
        <v>2056767250</v>
      </c>
      <c r="N351">
        <v>2315653124.0839138</v>
      </c>
      <c r="O351">
        <v>102663</v>
      </c>
      <c r="P351" s="10">
        <v>2.315653124083914</v>
      </c>
      <c r="Q351" s="10">
        <v>78.065950825553188</v>
      </c>
      <c r="R351" s="3">
        <f t="shared" si="15"/>
        <v>528678893630.96558</v>
      </c>
      <c r="S351" s="2">
        <f t="shared" si="16"/>
        <v>0.43800748469075679</v>
      </c>
      <c r="T351" s="11">
        <f t="shared" si="17"/>
        <v>4.3800748469075678E-3</v>
      </c>
    </row>
    <row r="352" spans="1:20" x14ac:dyDescent="0.3">
      <c r="A352" t="s">
        <v>51</v>
      </c>
      <c r="B352" s="3">
        <v>99</v>
      </c>
      <c r="C352">
        <v>2017</v>
      </c>
      <c r="D352" s="2">
        <v>596.50201995811437</v>
      </c>
      <c r="E352" s="2">
        <v>541.27400069925523</v>
      </c>
      <c r="F352" s="11">
        <v>0.62228423647280895</v>
      </c>
      <c r="G352" s="5">
        <v>9.8699999999999996E-2</v>
      </c>
      <c r="H352">
        <v>0.49700000000000005</v>
      </c>
      <c r="J352">
        <v>68207572257</v>
      </c>
      <c r="K352">
        <v>74966111879.675385</v>
      </c>
      <c r="L352" s="6">
        <v>2328</v>
      </c>
      <c r="M352" s="9">
        <v>1878692400</v>
      </c>
      <c r="N352">
        <v>2064847933.8222144</v>
      </c>
      <c r="O352">
        <v>105059</v>
      </c>
      <c r="P352" s="10">
        <v>2.0648479338222145</v>
      </c>
      <c r="Q352" s="10">
        <v>74.966111879675381</v>
      </c>
      <c r="R352" s="3">
        <f t="shared" si="15"/>
        <v>541274000699.25525</v>
      </c>
      <c r="S352" s="2">
        <f t="shared" si="16"/>
        <v>0.38147923808546147</v>
      </c>
      <c r="T352" s="11">
        <f t="shared" si="17"/>
        <v>3.8147923808546148E-3</v>
      </c>
    </row>
    <row r="353" spans="1:20" x14ac:dyDescent="0.3">
      <c r="A353" t="s">
        <v>51</v>
      </c>
      <c r="B353" s="3">
        <v>99</v>
      </c>
      <c r="C353">
        <v>2018</v>
      </c>
      <c r="D353" s="2">
        <v>634.89220221924916</v>
      </c>
      <c r="E353" s="2">
        <v>556.27106061369818</v>
      </c>
      <c r="F353" s="11">
        <v>0.67156619239286275</v>
      </c>
      <c r="G353" s="5">
        <v>6.8600000000000008E-2</v>
      </c>
      <c r="H353">
        <v>0.504</v>
      </c>
      <c r="J353">
        <v>64969050845</v>
      </c>
      <c r="K353">
        <v>70053486127.833832</v>
      </c>
      <c r="L353" s="6">
        <v>2188</v>
      </c>
      <c r="M353" s="9">
        <v>1797249800</v>
      </c>
      <c r="N353">
        <v>1937901389.8929634</v>
      </c>
      <c r="O353">
        <v>110599</v>
      </c>
      <c r="P353" s="10">
        <v>1.9379013898929633</v>
      </c>
      <c r="Q353" s="10">
        <v>70.053486127833835</v>
      </c>
      <c r="R353" s="3">
        <f t="shared" si="15"/>
        <v>556271060613.69824</v>
      </c>
      <c r="S353" s="2">
        <f t="shared" si="16"/>
        <v>0.34837357667950603</v>
      </c>
      <c r="T353" s="11">
        <f t="shared" si="17"/>
        <v>3.4837357667950601E-3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82D90-4431-458D-8384-F659202F1791}">
  <dimension ref="A1:C12"/>
  <sheetViews>
    <sheetView workbookViewId="0">
      <selection activeCell="D2" sqref="D2"/>
    </sheetView>
  </sheetViews>
  <sheetFormatPr baseColWidth="10" defaultRowHeight="14.4" x14ac:dyDescent="0.3"/>
  <sheetData>
    <row r="1" spans="1:3" x14ac:dyDescent="0.3">
      <c r="A1" t="s">
        <v>1</v>
      </c>
      <c r="B1" t="s">
        <v>52</v>
      </c>
      <c r="C1" t="s">
        <v>53</v>
      </c>
    </row>
    <row r="2" spans="1:3" x14ac:dyDescent="0.3">
      <c r="A2">
        <v>2008</v>
      </c>
      <c r="B2" s="2">
        <v>3834.1865786334902</v>
      </c>
      <c r="C2" s="2">
        <v>68424.94881898418</v>
      </c>
    </row>
    <row r="3" spans="1:3" x14ac:dyDescent="0.3">
      <c r="A3">
        <v>2009</v>
      </c>
      <c r="B3" s="2">
        <v>4018.1755604837999</v>
      </c>
      <c r="C3" s="2">
        <v>71308.814974037232</v>
      </c>
    </row>
    <row r="4" spans="1:3" x14ac:dyDescent="0.3">
      <c r="A4">
        <v>2010</v>
      </c>
      <c r="B4" s="2">
        <v>4280.8284474079064</v>
      </c>
      <c r="C4" s="2">
        <v>75981.871421071599</v>
      </c>
    </row>
    <row r="5" spans="1:3" x14ac:dyDescent="0.3">
      <c r="A5">
        <v>2011</v>
      </c>
      <c r="B5" s="2">
        <v>4767.0233997107553</v>
      </c>
      <c r="C5" s="2">
        <v>85578.122073564766</v>
      </c>
    </row>
    <row r="6" spans="1:3" x14ac:dyDescent="0.3">
      <c r="A6">
        <v>2012</v>
      </c>
      <c r="B6" s="2">
        <v>5242.262342793133</v>
      </c>
      <c r="C6" s="2">
        <v>92318.043676536457</v>
      </c>
    </row>
    <row r="7" spans="1:3" x14ac:dyDescent="0.3">
      <c r="A7">
        <v>2013</v>
      </c>
      <c r="B7" s="2">
        <v>5460.3543400731769</v>
      </c>
      <c r="C7" s="2">
        <v>98572.848541745116</v>
      </c>
    </row>
    <row r="8" spans="1:3" x14ac:dyDescent="0.3">
      <c r="A8">
        <v>2014</v>
      </c>
      <c r="B8" s="2">
        <v>5720.3525383265824</v>
      </c>
      <c r="C8" s="2">
        <v>106818.96132105797</v>
      </c>
    </row>
    <row r="9" spans="1:3" x14ac:dyDescent="0.3">
      <c r="A9">
        <v>2015</v>
      </c>
      <c r="B9" s="2">
        <v>6380.6923448656271</v>
      </c>
      <c r="C9" s="2">
        <v>115446.2569833156</v>
      </c>
    </row>
    <row r="10" spans="1:3" x14ac:dyDescent="0.3">
      <c r="A10">
        <v>2016</v>
      </c>
      <c r="B10" s="2">
        <v>7133.1323777393454</v>
      </c>
      <c r="C10" s="2">
        <v>126021.64407252638</v>
      </c>
    </row>
    <row r="11" spans="1:3" x14ac:dyDescent="0.3">
      <c r="A11">
        <v>2017</v>
      </c>
      <c r="B11" s="2">
        <v>7633.4520249197703</v>
      </c>
      <c r="C11" s="2">
        <v>132368.59065390422</v>
      </c>
    </row>
    <row r="12" spans="1:3" x14ac:dyDescent="0.3">
      <c r="A12">
        <v>2018</v>
      </c>
      <c r="B12" s="2">
        <v>7927.0316490099094</v>
      </c>
      <c r="C12" s="2">
        <v>141866.28536304302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S_Cruzada</vt:lpstr>
      <vt:lpstr>Serie</vt:lpstr>
      <vt:lpstr>Panel</vt:lpstr>
      <vt:lpstr>Serie_2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NICOLAS GARCIA PEÑALOZA</cp:lastModifiedBy>
  <dcterms:created xsi:type="dcterms:W3CDTF">2020-05-06T04:09:37Z</dcterms:created>
  <dcterms:modified xsi:type="dcterms:W3CDTF">2025-07-21T01:33:24Z</dcterms:modified>
</cp:coreProperties>
</file>